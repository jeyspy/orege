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REGION GRAND EST\OutilPartageConnaissanceEau_ObservatoireEau\03_Atelier\P3_Construction_Definition_Indicateur\"/>
    </mc:Choice>
  </mc:AlternateContent>
  <xr:revisionPtr revIDLastSave="0" documentId="13_ncr:1_{3DE062E7-A50B-4DE6-B203-C9D8CD9CA4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écouvrir mon territoire (ELU)" sheetId="1" r:id="rId1"/>
  </sheets>
  <definedNames>
    <definedName name="_xlnm._FilterDatabase" localSheetId="0" hidden="1">'Découvrir mon territoire (ELU)'!$A$1:$V$106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tc={DE31EA5A-FCBF-6BEA-7A68-3E894837659D}</author>
  </authors>
  <commentList>
    <comment ref="B1" authorId="0" shapeId="0" xr:uid="{DE31EA5A-FCBF-6BEA-7A68-3E894837659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Attention, ce n'est pas une clé d'entrée
</t>
      </text>
    </comment>
  </commentList>
</comments>
</file>

<file path=xl/sharedStrings.xml><?xml version="1.0" encoding="utf-8"?>
<sst xmlns="http://schemas.openxmlformats.org/spreadsheetml/2006/main" count="1779" uniqueCount="407">
  <si>
    <t>ENJEUX</t>
  </si>
  <si>
    <t>Exposition / Sensibilité / Vulnérabilité</t>
  </si>
  <si>
    <t>Catégories</t>
  </si>
  <si>
    <t>sous-Catégories</t>
  </si>
  <si>
    <t>Nom_indicateur</t>
  </si>
  <si>
    <t>Description</t>
  </si>
  <si>
    <t>Unités</t>
  </si>
  <si>
    <t>Echelle de représentation</t>
  </si>
  <si>
    <t>Type de représentation :
cartographie</t>
  </si>
  <si>
    <t>Type de représentation :
graphique</t>
  </si>
  <si>
    <t>Type de représentation :
chiffre clé</t>
  </si>
  <si>
    <t>Libellés de catégories</t>
  </si>
  <si>
    <t>Commentaires</t>
  </si>
  <si>
    <t>Intérêt</t>
  </si>
  <si>
    <t>Faisabilité</t>
  </si>
  <si>
    <t>Disponibilité de la donnée</t>
  </si>
  <si>
    <t>Priorité
V1 - Juin 2026
V2 - Fin d'année 2026
V3 - Futur</t>
  </si>
  <si>
    <t>Thématique RGE</t>
  </si>
  <si>
    <t>Remarque Antea</t>
  </si>
  <si>
    <t>Etat d'avancement</t>
  </si>
  <si>
    <t>Fiche descriptive indicateur</t>
  </si>
  <si>
    <t>Texte explicatif de la donnée (RGE)</t>
  </si>
  <si>
    <t>Aménagement du territoire et zonage</t>
  </si>
  <si>
    <t>Sensibilité</t>
  </si>
  <si>
    <t>Zonage</t>
  </si>
  <si>
    <t>Zones humides</t>
  </si>
  <si>
    <t>Nombre de zones humides</t>
  </si>
  <si>
    <r>
      <rPr>
        <sz val="11"/>
        <color theme="1"/>
        <rFont val="Aptos Narrow"/>
        <family val="2"/>
        <scheme val="minor"/>
      </rPr>
      <t xml:space="preserve">Recencement en nombre des zones humides (ZH DREAL Grand-Est + </t>
    </r>
    <r>
      <rPr>
        <strike/>
        <sz val="11"/>
        <color theme="1"/>
        <rFont val="Aptos Narrow"/>
        <family val="2"/>
        <scheme val="minor"/>
      </rPr>
      <t>Ramsar</t>
    </r>
    <r>
      <rPr>
        <sz val="11"/>
        <color theme="1"/>
        <rFont val="Aptos Narrow"/>
        <family val="2"/>
        <scheme val="minor"/>
      </rPr>
      <t>) différencié selon la typologie</t>
    </r>
  </si>
  <si>
    <t>Nombre</t>
  </si>
  <si>
    <t>Avis Antea : représentation adaptée à tous les territoires</t>
  </si>
  <si>
    <t>x</t>
  </si>
  <si>
    <t>x
(type camembert/donut)</t>
  </si>
  <si>
    <t>ZHE-LsE (cf. symbo DREAL GE) / ZHE-LsE-AM08 (cf. symbo DREAL GE)</t>
  </si>
  <si>
    <r>
      <rPr>
        <sz val="11"/>
        <color theme="1"/>
        <rFont val="Aptos Narrow"/>
        <family val="2"/>
        <scheme val="minor"/>
      </rPr>
      <t xml:space="preserve">Donnée à l'échelle du département et en total pour la région + EPCI et BV
Différencier la typologie  (ZHE-LsE / ZHE-LsE-AM08 / </t>
    </r>
    <r>
      <rPr>
        <strike/>
        <sz val="11"/>
        <color theme="1"/>
        <rFont val="Aptos Narrow"/>
        <family val="2"/>
        <scheme val="minor"/>
      </rPr>
      <t>ZHP-MNHN + RAMSAR</t>
    </r>
    <r>
      <rPr>
        <sz val="11"/>
        <color theme="1"/>
        <rFont val="Aptos Narrow"/>
        <family val="2"/>
        <scheme val="minor"/>
      </rPr>
      <t>)</t>
    </r>
  </si>
  <si>
    <t>Connaissance / aculturation</t>
  </si>
  <si>
    <t>Facile</t>
  </si>
  <si>
    <t>Disponible facilement mais à collecter</t>
  </si>
  <si>
    <t>V2</t>
  </si>
  <si>
    <r>
      <rPr>
        <sz val="11"/>
        <color theme="1"/>
        <rFont val="Aptos Narrow"/>
        <family val="2"/>
        <scheme val="minor"/>
      </rPr>
      <t xml:space="preserve">Zones humides DREAL &lt;-&gt; Pb géométrie ZHE-LsE / ZHE-LsE-AM08 OK / Pb format (raster) ZHP-MNHN
</t>
    </r>
    <r>
      <rPr>
        <strike/>
        <sz val="11"/>
        <color theme="1"/>
        <rFont val="Aptos Narrow"/>
        <family val="2"/>
        <scheme val="minor"/>
      </rPr>
      <t>Ramsar : donnée source référentielle V2 &lt;-&gt; source INPN non disponible &gt; table spatialege</t>
    </r>
    <r>
      <rPr>
        <sz val="11"/>
        <color theme="1"/>
        <rFont val="Aptos Narrow"/>
        <family val="2"/>
        <scheme val="minor"/>
      </rPr>
      <t xml:space="preserve">
Comment prendre en compte les ZH superposées (risque de double compte ?)
</t>
    </r>
  </si>
  <si>
    <t>En attente donnée "propre" pour ZHE-LsE et ZHE-LsE-AM08
Pas de donnée vectoriel pour ZHP-MNHN
On retire RAMSAR</t>
  </si>
  <si>
    <t>En attente donnée</t>
  </si>
  <si>
    <t>Surface de zones humides</t>
  </si>
  <si>
    <t>Hectare</t>
  </si>
  <si>
    <r>
      <rPr>
        <sz val="11"/>
        <color theme="1"/>
        <rFont val="Aptos Narrow"/>
        <family val="2"/>
        <scheme val="minor"/>
      </rPr>
      <t xml:space="preserve">Différencier la typologie (ZHE-LsE / ZHE-LsE-AM08 / </t>
    </r>
    <r>
      <rPr>
        <strike/>
        <sz val="11"/>
        <color theme="1"/>
        <rFont val="Aptos Narrow"/>
        <family val="2"/>
        <scheme val="minor"/>
      </rPr>
      <t>ZHP-MNHN + RAMSAR</t>
    </r>
    <r>
      <rPr>
        <sz val="11"/>
        <color theme="1"/>
        <rFont val="Aptos Narrow"/>
        <family val="2"/>
        <scheme val="minor"/>
      </rPr>
      <t>)
Donnée à l'échelle du département et en total pour la région
Possibilité de faire un % de superficie totale de la région + EPCI et BV</t>
    </r>
  </si>
  <si>
    <t>Typologie des zones humides</t>
  </si>
  <si>
    <t>Présentation du % de chaque typologie de ZH (% de superficie ou de nombre)</t>
  </si>
  <si>
    <t>Pourcentage</t>
  </si>
  <si>
    <t>Pourcentage de territoire couvert par une zone humide</t>
  </si>
  <si>
    <t>% du territoire couvert par des zones humides inventoriées</t>
  </si>
  <si>
    <t>-</t>
  </si>
  <si>
    <t>Ne pas différencier les ZH selon la typologie
Attention au double compte lié au superposition de ZH de source différente</t>
  </si>
  <si>
    <r>
      <rPr>
        <sz val="11"/>
        <color theme="1"/>
        <rFont val="Aptos Narrow"/>
        <family val="2"/>
        <scheme val="minor"/>
      </rPr>
      <t xml:space="preserve">Zones humides DREAL &lt;-&gt; Pb géométrie ZHE-LsE / ZHE-LsE-AM08 OK / Pb format (raster) ZHP-MNHN
</t>
    </r>
    <r>
      <rPr>
        <strike/>
        <sz val="11"/>
        <color theme="1"/>
        <rFont val="Aptos Narrow"/>
        <family val="2"/>
        <scheme val="minor"/>
      </rPr>
      <t>Ramsar : donnée source référentielle V2 &lt;-&gt; source INPN non disponible &gt; table spatialege
Dissoudre les ZH superposées afin d'éviter les doubles comptes</t>
    </r>
    <r>
      <rPr>
        <sz val="11"/>
        <color theme="1"/>
        <rFont val="Aptos Narrow"/>
        <family val="2"/>
        <scheme val="minor"/>
      </rPr>
      <t xml:space="preserve">
</t>
    </r>
  </si>
  <si>
    <t>Evolution des ZH effectives (inventaire)</t>
  </si>
  <si>
    <t>Evolution de la superficie des ZH effectives où il y a eu un inventaire par rapport au ZH potentielles (voir avec DREAL si on peut avoir le territoire total de l'inventaire en flux)</t>
  </si>
  <si>
    <t>?</t>
  </si>
  <si>
    <t>Prévoir un comparatif par rapport au GE</t>
  </si>
  <si>
    <t>Moyen</t>
  </si>
  <si>
    <t>Pas de donnée disponible</t>
  </si>
  <si>
    <t>V3</t>
  </si>
  <si>
    <t>Nécessite une historisation de la donnée pour suivi évolution
Donnée disponible au sein de la DREAL Grand-Est &gt; Comment la collecter ?</t>
  </si>
  <si>
    <t>A étudier dans le cadre de la V3</t>
  </si>
  <si>
    <t>RAMSAR</t>
  </si>
  <si>
    <t>Nombre de zones RAMSAR</t>
  </si>
  <si>
    <t>Présence ou non d'une zone RAMSAR sur le territoire et nom</t>
  </si>
  <si>
    <t>Disponible facilement</t>
  </si>
  <si>
    <t xml:space="preserve">Ramsar : donnée source référentielle V2 &lt;-&gt; source INPN non disponible &gt; table spatialege
</t>
  </si>
  <si>
    <t>En attente de validation</t>
  </si>
  <si>
    <t>Surface de zones RAMSAR</t>
  </si>
  <si>
    <t>Superficie en ha des zones RAMSAR par territoire</t>
  </si>
  <si>
    <t>Evolution des zones RAMSAR</t>
  </si>
  <si>
    <t>Peut-on avoir un indicateur d'évolution des zones</t>
  </si>
  <si>
    <t>Nombre/Hectare</t>
  </si>
  <si>
    <t>Nécessite une historisation de la donnée pour suivi évolution
Donnée disponible au sein de spatialege ?</t>
  </si>
  <si>
    <t>Aménagement</t>
  </si>
  <si>
    <t>ZRE</t>
  </si>
  <si>
    <t>Nombre de zones de répartition des eaux (ZRE)</t>
  </si>
  <si>
    <t xml:space="preserve">Carte des ZRE superficielles et souterraines </t>
  </si>
  <si>
    <r>
      <rPr>
        <sz val="11"/>
        <color theme="1"/>
        <rFont val="Aptos Narrow"/>
        <family val="2"/>
        <scheme val="minor"/>
      </rPr>
      <t xml:space="preserve">donnée source référentielle V1 &lt;-&gt; disponible en flux Sandre, </t>
    </r>
    <r>
      <rPr>
        <strike/>
        <sz val="11"/>
        <color theme="1"/>
        <rFont val="Aptos Narrow"/>
        <family val="2"/>
        <scheme val="minor"/>
      </rPr>
      <t>sera poussée dans spatialege</t>
    </r>
  </si>
  <si>
    <t>Pourcentage de territoire couvert par une zone de répartition des eaux (ZRE)</t>
  </si>
  <si>
    <t>% du territoire couvert par une ZRE</t>
  </si>
  <si>
    <t>% du territoire couvert par typologie de ZRE (nappe captive, surface, nappe affleurante,…)</t>
  </si>
  <si>
    <t>Inconnu / ZRESup / ZRESout / Mixte
cf https://www.sandre.eaufrance.fr/?urn=urn:sandre:donnees:629::::::referentiel:3.1:html</t>
  </si>
  <si>
    <t>Occupation du sol</t>
  </si>
  <si>
    <t>Typologie de l'occupation du sol</t>
  </si>
  <si>
    <t>Couverture de la Région par type d'occupation du sol</t>
  </si>
  <si>
    <t>x
Lien externe ocs.datagrandest.fr</t>
  </si>
  <si>
    <t>Niveau 1</t>
  </si>
  <si>
    <t>% selon les principaux couverts (emprises agricoles, Espaces forestiers et semi-naturels, emprises urbaines, surfaces en eau, milieux naturels liés à l'eau) - indicateurs existants dans OCS Grand Est - 2021</t>
  </si>
  <si>
    <t>Open source / déjà dans datagrandest</t>
  </si>
  <si>
    <t>donnée source référentielle V2+ &lt;-&gt; table spatialege</t>
  </si>
  <si>
    <t>Imperméabilisation des sols urbanisés</t>
  </si>
  <si>
    <t>% de sols perméables urbain, Imperméable non bâti, Impérméable bâti sur les territoires de l'OCS Grand Est - 2021</t>
  </si>
  <si>
    <t>A travailler avec Enora si possible?</t>
  </si>
  <si>
    <t>donnée source à définir</t>
  </si>
  <si>
    <t>Mutations d'occupation du sol</t>
  </si>
  <si>
    <t>Evolution d'une typologie d'espace vers une autre (exemple milieux naturels vers urbains) - disponible dans l'OCS GE entre 2010 et 2021</t>
  </si>
  <si>
    <t>Surface en eau</t>
  </si>
  <si>
    <t xml:space="preserve">Nouvelles surfaces en eau </t>
  </si>
  <si>
    <t>Ha de nouvelles surfaces en eau sur le territoire OCS entre 2010 et 2021</t>
  </si>
  <si>
    <t>Assainissement collectif</t>
  </si>
  <si>
    <t>Zones sensibles</t>
  </si>
  <si>
    <t>% de territoire concerné par l'application de la Directive (UE) 2024/3019 relative au traitement des eaux résiduaires urbaines</t>
  </si>
  <si>
    <t>Aide à la décision</t>
  </si>
  <si>
    <t>Obstacles à l'écoulement</t>
  </si>
  <si>
    <t>Nombre d'obstacles à l'écoulement</t>
  </si>
  <si>
    <t>Sur un territoire donné référence le nombre d'obstacle à l'écoulement</t>
  </si>
  <si>
    <t>(x)</t>
  </si>
  <si>
    <t xml:space="preserve">Typologie d'obstacles à l'écoulement </t>
  </si>
  <si>
    <t>Indique si ce sont des barrages, seuils en rivière, digues, obstacles induit par un pont, épis en rivière ou Grille</t>
  </si>
  <si>
    <t>Niveau 2
https://www.sandre.eaufrance.fr/?urn=urn:sandre:donnees:284::::::referentiel:3.1:html</t>
  </si>
  <si>
    <t>Nombre de principaux barrages</t>
  </si>
  <si>
    <t>Localisation des principaux barrages</t>
  </si>
  <si>
    <t>Définir la source de données
Issu du CFBR ?</t>
  </si>
  <si>
    <t>Difficile</t>
  </si>
  <si>
    <t>Gouvernance et action menées</t>
  </si>
  <si>
    <t>Gouvernance</t>
  </si>
  <si>
    <t>Organisation des acteurs</t>
  </si>
  <si>
    <t>Agence de l'eau</t>
  </si>
  <si>
    <t>Couverture du territoire par les agences de l'Eau</t>
  </si>
  <si>
    <t>Pourcentage
Nom</t>
  </si>
  <si>
    <t>Avis Antea : quel intérêt à représenter à l'échelle du bassin hydrographique/comité de bassin ?</t>
  </si>
  <si>
    <t>RHIN-MEUSE / SEINE-NORMANDIE / RHONE-MEDITERRANEE
cf. https://www.sandre.eaufrance.fr/?urn=urn:sandre:donnees:447::::::referentiel:3.1:html</t>
  </si>
  <si>
    <r>
      <t xml:space="preserve">utilisation de la donnée source référentielle V1 comité de bassin (administratif)
donnée source référentielle V1 &lt;-&gt; disponible en flux Sandre, </t>
    </r>
    <r>
      <rPr>
        <strike/>
        <sz val="11"/>
        <color theme="1"/>
        <rFont val="Aptos Narrow"/>
        <family val="2"/>
        <scheme val="minor"/>
      </rPr>
      <t>sera poussée dans spatialege</t>
    </r>
  </si>
  <si>
    <t>Etablissement Public Territorial de Bassin (EPTB)</t>
  </si>
  <si>
    <t>Couverture du territoire par les EPTB</t>
  </si>
  <si>
    <t>Avis Antea : quel intérêt à représenter à l'échelle de l'EPTB ?</t>
  </si>
  <si>
    <t>Actions menées</t>
  </si>
  <si>
    <t>Plans et programmes en matière de gestion de l'eau</t>
  </si>
  <si>
    <t>Schémas d'Aménagement et de Gestion des Eaux (SAGE)</t>
  </si>
  <si>
    <t>Couverture du territoire par les SAGE</t>
  </si>
  <si>
    <t>Avis Antea : quel intérêt à représenter à l'échelle du SAGE ?</t>
  </si>
  <si>
    <t>donnée source référentielle V1 &lt;-&gt; OK, disponible dans spatialege</t>
  </si>
  <si>
    <t xml:space="preserve">Couverture du territoire par les SAGE par avancement des procédures </t>
  </si>
  <si>
    <t>Niveau 1 de la nomenclature
'cf. https://www.sandre.eaufrance.fr/?urn=urn:sandre:donnees:617::::::referentiel:3.1:html</t>
  </si>
  <si>
    <t>Démarches concertées pour la gestion et la restauration des MA (Contrats milieux, Contrats bassin, ...)</t>
  </si>
  <si>
    <t>Couverture du territoire par les contrats de milieu</t>
  </si>
  <si>
    <t xml:space="preserve">Couverture du territoire par les contrats de milieu par avancement des procédures </t>
  </si>
  <si>
    <t>cf. https://www.sandre.eaufrance.fr/?urn=urn:sandre:donnees:971::::::referentiel:3.1:html</t>
  </si>
  <si>
    <t>Démarches concertées de gestion de la ressource en eau (PTGE, ...)</t>
  </si>
  <si>
    <t xml:space="preserve">Couverture du territoire par les PTGE </t>
  </si>
  <si>
    <t>Avis Antea : quel intérêt à représenter à l'échelle du PTGE ?</t>
  </si>
  <si>
    <r>
      <rPr>
        <sz val="11"/>
        <color theme="1"/>
        <rFont val="Aptos Narrow"/>
        <family val="2"/>
        <scheme val="minor"/>
      </rPr>
      <t xml:space="preserve">donnée source référentielle V1 &lt;-&gt; disponible en flux Oieau, </t>
    </r>
    <r>
      <rPr>
        <strike/>
        <sz val="11"/>
        <color theme="1"/>
        <rFont val="Aptos Narrow"/>
        <family val="2"/>
        <scheme val="minor"/>
      </rPr>
      <t>sera poussée dans spatialege</t>
    </r>
  </si>
  <si>
    <t xml:space="preserve">Couverture du territoire par les PTGE par avancement des procédures </t>
  </si>
  <si>
    <t>Etablissements Publics d’Aménagement et de Gestion de l’Eau (EPAGE)</t>
  </si>
  <si>
    <t>Couverture du territoire par les EPAGE</t>
  </si>
  <si>
    <t>téléchargement - à refaire ponctuellement</t>
  </si>
  <si>
    <t>donnée source référentielle V2+ &lt;-&gt; pas de fournisseur unique identifié
Téléchargement d'un fichier Excel (Banatic) pour construire une couche à la commune</t>
  </si>
  <si>
    <t>Différence notable entre les périmètres obtenus à partir de Banatic et la carte présente sur le site de l'ANEB (Association Nationale des Elus des Bassins) : https://bassinversant.org/epage/les-epage/</t>
  </si>
  <si>
    <t>Collectivités compétentes en matière de production d'eau potable</t>
  </si>
  <si>
    <t>Nombre de collectivités compétentes sur le territoire</t>
  </si>
  <si>
    <t>Nombre
Nom</t>
  </si>
  <si>
    <r>
      <t xml:space="preserve">donnée source référentielle V2 &lt;-&gt; téléchargement d'une archive Zip contenant un fichier Excel (SISPEA) et reconstruction d'une couche à la commune
</t>
    </r>
    <r>
      <rPr>
        <strike/>
        <sz val="11"/>
        <color theme="1"/>
        <rFont val="Aptos Narrow"/>
        <family val="2"/>
        <scheme val="minor"/>
      </rPr>
      <t>Prévoir des tables de correspondance pour les différents périmètres d'analyse/de recherche ?</t>
    </r>
  </si>
  <si>
    <t>Collectivités compétentes en matière de distribution d'eau potable</t>
  </si>
  <si>
    <r>
      <rPr>
        <sz val="11"/>
        <color theme="1"/>
        <rFont val="Aptos Narrow"/>
        <family val="2"/>
        <scheme val="minor"/>
      </rPr>
      <t xml:space="preserve">Collectivités compétentes en matière d'assainissement collectif </t>
    </r>
    <r>
      <rPr>
        <strike/>
        <sz val="11"/>
        <color theme="1"/>
        <rFont val="Aptos Narrow"/>
        <family val="2"/>
        <scheme val="minor"/>
      </rPr>
      <t>(Dépollution)</t>
    </r>
  </si>
  <si>
    <t>Collectivités compétentes en matière d'assainissement non collectif</t>
  </si>
  <si>
    <t>Collectivités compétentes en matière de GEMAPI (1,2,5,8)</t>
  </si>
  <si>
    <t>Vulnérabilité</t>
  </si>
  <si>
    <t>Plans et programmes en matière de réduction des risques naturels</t>
  </si>
  <si>
    <t>Programme d'Actions de Prévention des Inondations (PAPI)</t>
  </si>
  <si>
    <t>Couverture du territoire par les procédures (PEP/PAPI)</t>
  </si>
  <si>
    <t>Avis Antea : représentation adaptée à tous les territoires
Pas forcément représentatif pour les communes</t>
  </si>
  <si>
    <t>Données incomplètes ou indisponibles</t>
  </si>
  <si>
    <t>donnée source référentielle V2+ &lt;-&gt; pas de fournisseur unique identifié</t>
  </si>
  <si>
    <t xml:space="preserve">Couverture du territoire par les procédures (PEP/PAPI) par avancement des procédures </t>
  </si>
  <si>
    <t>Stratégie Locale de Gestion du Risque Inondation (SLGRI)</t>
  </si>
  <si>
    <t>Couverture du territoire par les procédures SLGRI</t>
  </si>
  <si>
    <t>donnée source référentielle V2+ &lt;-&gt; téléchargement d'un fichier géographique, sera poussée dans spatialege</t>
  </si>
  <si>
    <t xml:space="preserve">Couverture du territoire par les procédures SLGRI par avancement des procédures </t>
  </si>
  <si>
    <t>donnée source référentielle V2+ &lt;-&gt; téléchargement d'un fichier géographique, sera poussée dans spatialege
Pas de niveau d'avancement de la procédure disponible dans le jeu de données</t>
  </si>
  <si>
    <t>Plans de Préventions des Risques Inondation ( PPRI )</t>
  </si>
  <si>
    <r>
      <rPr>
        <sz val="11"/>
        <color theme="1"/>
        <rFont val="Aptos Narrow"/>
        <family val="2"/>
        <scheme val="minor"/>
      </rPr>
      <t xml:space="preserve">Nombre de </t>
    </r>
    <r>
      <rPr>
        <strike/>
        <sz val="11"/>
        <color theme="1"/>
        <rFont val="Aptos Narrow"/>
        <family val="2"/>
        <scheme val="minor"/>
      </rPr>
      <t>cours d'eau du territoire couvert par un</t>
    </r>
    <r>
      <rPr>
        <sz val="11"/>
        <color theme="1"/>
        <rFont val="Aptos Narrow"/>
        <family val="2"/>
        <scheme val="minor"/>
      </rPr>
      <t xml:space="preserve"> PPRI sur le territoire</t>
    </r>
  </si>
  <si>
    <t>donnée source référentielle V1 &lt;-&gt; disponible en flux Georisques, sera poussée dans spatialege (demande Enora)</t>
  </si>
  <si>
    <t>Ressource / usage / pression</t>
  </si>
  <si>
    <t>Ressources</t>
  </si>
  <si>
    <t>Eaux de surface</t>
  </si>
  <si>
    <t>Indicateurs descriptifs des plans d'eau</t>
  </si>
  <si>
    <t>Nombre de plans d'eau sur le territoire sélectionné</t>
  </si>
  <si>
    <r>
      <rPr>
        <strike/>
        <sz val="11"/>
        <color theme="1"/>
        <rFont val="Aptos Narrow"/>
        <family val="2"/>
        <scheme val="minor"/>
      </rPr>
      <t>donnée source référentielle V1 &lt;-&gt; disponible en flux Sandre, sera poussée dans spatialege</t>
    </r>
    <r>
      <rPr>
        <sz val="11"/>
        <color theme="1"/>
        <rFont val="Aptos Narrow"/>
        <family val="2"/>
        <scheme val="minor"/>
      </rPr>
      <t xml:space="preserve">
utiliser l'INPE : https://cartes.gouv.fr/rechercher-une-donnee/dataset/IGNF_INPE</t>
    </r>
  </si>
  <si>
    <t>A calculer</t>
  </si>
  <si>
    <t>Superficie de plans d'eau sur le territoire sélectionné</t>
  </si>
  <si>
    <t>Indicateurs descriptifs des cours d'eau</t>
  </si>
  <si>
    <t>Linéaire de cours d'eau sur l'entité géographique sélectionnée</t>
  </si>
  <si>
    <t>Km</t>
  </si>
  <si>
    <t>ressources</t>
  </si>
  <si>
    <t>Hydrologie moyenne</t>
  </si>
  <si>
    <r>
      <rPr>
        <sz val="11"/>
        <color theme="1"/>
        <rFont val="Aptos Narrow"/>
        <family val="2"/>
        <scheme val="minor"/>
      </rPr>
      <t xml:space="preserve">Identification du module des stations de mesure sur le territoire
</t>
    </r>
    <r>
      <rPr>
        <b/>
        <sz val="11"/>
        <color rgb="FF00B050"/>
        <rFont val="Aptos Narrow"/>
        <family val="2"/>
        <scheme val="minor"/>
      </rPr>
      <t>R</t>
    </r>
    <r>
      <rPr>
        <b/>
        <sz val="11"/>
        <color theme="9"/>
        <rFont val="Aptos Narrow"/>
        <family val="2"/>
        <scheme val="minor"/>
      </rPr>
      <t>eprésentatité = 30 ans</t>
    </r>
  </si>
  <si>
    <t>m3/s</t>
  </si>
  <si>
    <t>x
(plusieurs points de mesure par territoire)</t>
  </si>
  <si>
    <t>Préciser l'évolution par rapport aux années précédentes/années de références (cf Mind Map)</t>
  </si>
  <si>
    <t>Lister les stations de la région (Hub'eau) / Récupérer les chroniques (Hub'eau) / Calculer la valeur de débit</t>
  </si>
  <si>
    <t xml:space="preserve">Comparaison du module des stations de mesure sur le territoire par rapport au Qmoyen année n, donc module n-31 à n-1 =&gt; n= 2025 donc Module 1995-2024
</t>
  </si>
  <si>
    <t>x
(à la hausse ou à la baisse)</t>
  </si>
  <si>
    <t>Hydrologie d'étiage</t>
  </si>
  <si>
    <r>
      <rPr>
        <sz val="11"/>
        <color theme="1"/>
        <rFont val="Aptos Narrow"/>
        <family val="2"/>
        <scheme val="minor"/>
      </rPr>
      <t xml:space="preserve">Identification du QMNA5 sur le territoire
</t>
    </r>
    <r>
      <rPr>
        <b/>
        <sz val="11"/>
        <color theme="9"/>
        <rFont val="Aptos Narrow"/>
        <family val="2"/>
        <scheme val="minor"/>
      </rPr>
      <t>Calcul sur 5 ans à l'année N-1</t>
    </r>
  </si>
  <si>
    <r>
      <rPr>
        <sz val="11"/>
        <color theme="1"/>
        <rFont val="Aptos Narrow"/>
        <family val="2"/>
        <scheme val="minor"/>
      </rPr>
      <t xml:space="preserve">Evolution du QMNA5 sur le territoire (depuis quand?)
</t>
    </r>
    <r>
      <rPr>
        <b/>
        <sz val="11"/>
        <color theme="9"/>
        <rFont val="Aptos Narrow"/>
        <family val="2"/>
        <scheme val="minor"/>
      </rPr>
      <t xml:space="preserve">Tendance Mann-Kendall </t>
    </r>
  </si>
  <si>
    <t>x
(type histogramme)</t>
  </si>
  <si>
    <t>Eaux souterraines</t>
  </si>
  <si>
    <t>Evolution de la piézométrie</t>
  </si>
  <si>
    <t>Evolution de la piézométrie sur l'ensemble de la chronique disponible</t>
  </si>
  <si>
    <t>m</t>
  </si>
  <si>
    <t>Lister les stations de la région (Hub'eau) / Récupérer les chroniques (Hub'eau) / Calculer la hauteur d'eau</t>
  </si>
  <si>
    <t>Evaluation DCE</t>
  </si>
  <si>
    <t>Etat écologique ESU</t>
  </si>
  <si>
    <r>
      <t>Présentation du % de masse d'eau superficielle (</t>
    </r>
    <r>
      <rPr>
        <strike/>
        <sz val="11"/>
        <color theme="1"/>
        <rFont val="Aptos Narrow"/>
        <family val="2"/>
        <scheme val="minor"/>
      </rPr>
      <t>et des stations</t>
    </r>
    <r>
      <rPr>
        <sz val="11"/>
        <color theme="1"/>
        <rFont val="Aptos Narrow"/>
        <family val="2"/>
        <scheme val="minor"/>
      </rPr>
      <t>) dans chacune des classes d'état - état écologique - MECE+MEPE</t>
    </r>
  </si>
  <si>
    <t>Très bon / Bon / Moyen / Médiocre / Mauvais
cf. https://www.sandre.eaufrance.fr/?urn=urn:sandre:donnees:650::::::referentiel:3.1:html</t>
  </si>
  <si>
    <t>présenter pour chacun des cycles le % correspondant à chaque modalité permettant ainsi on visualisation de l'évolution</t>
  </si>
  <si>
    <t>Collecter la donnée sur les SIE des 3 agences
Reconstruire une table ME/valeur
Pas d'évolution possible entre millésime à cause des évolutions de référentielles ME</t>
  </si>
  <si>
    <t>Etat chimique ESU</t>
  </si>
  <si>
    <t>Présentation du % de masse d'eau superficielle (et des stations) dans chacune des classes d'état - état chimique - MECE+MEPE</t>
  </si>
  <si>
    <t>Bon / Mauvais
cf. https://www.sandre.eaufrance.fr/?urn=urn:sandre:donnees:650::::::referentiel:3.1:html</t>
  </si>
  <si>
    <t>Etat quantitatif ESO</t>
  </si>
  <si>
    <t>Présentation du % de masse d'eau souterraines dans chacune des classes d'état - état  quantitatif - MESO</t>
  </si>
  <si>
    <t>Bon / Médiocre
cf. https://www.sandre.eaufrance.fr/?urn=urn:sandre:donnees:650::::::referentiel:3.1:html</t>
  </si>
  <si>
    <t>Etat chimique ESO</t>
  </si>
  <si>
    <t>Présentation du % de masse d'eau souterraines dans chacune des classes d'état - état  chimique - MESO</t>
  </si>
  <si>
    <t>Qualité de l'eau</t>
  </si>
  <si>
    <t>Nitrates Eaux de surface</t>
  </si>
  <si>
    <t>% de stations avec un niveau de nitrates &gt; 18 mg/l (eutrophisation) - réseau DCE/RCS</t>
  </si>
  <si>
    <t>Ce seuil permet d’identifier les eaux douces superficielles considérées comme subissant ou susceptibles de subir une eutrophisation
(arrêté du 5 mars 2015). / Station de suivi DCE</t>
  </si>
  <si>
    <t>Pas identifié initialement
Nécessite un nettoyage des données de chronique
Se rapprocher de AERM pour échange</t>
  </si>
  <si>
    <t>Usages</t>
  </si>
  <si>
    <t>Industrie</t>
  </si>
  <si>
    <t>Installations Classées pour Protecrtion de l'Environnement (ICPE)</t>
  </si>
  <si>
    <t>Répartition des ICPE entre SEVESO et non-SEVESO</t>
  </si>
  <si>
    <r>
      <rPr>
        <sz val="11"/>
        <color theme="1"/>
        <rFont val="Aptos Narrow"/>
        <family val="2"/>
        <scheme val="minor"/>
      </rPr>
      <t xml:space="preserve">Nombre
</t>
    </r>
    <r>
      <rPr>
        <sz val="11"/>
        <rFont val="Aptos Narrow"/>
        <family val="2"/>
        <scheme val="minor"/>
      </rPr>
      <t>Nom</t>
    </r>
  </si>
  <si>
    <t>Usages sectoriels de l'eau</t>
  </si>
  <si>
    <t>donnée source référentielle V2 &lt;-&gt; téléchargement d'un fichier géographique (Georisques)</t>
  </si>
  <si>
    <t>Pression</t>
  </si>
  <si>
    <t>Sites et sols pollués</t>
  </si>
  <si>
    <t>Sites et sols pollués ou potentiellement pollués (ex-BASOL)</t>
  </si>
  <si>
    <t>Seveso / Non Seveso / NULL</t>
  </si>
  <si>
    <r>
      <rPr>
        <sz val="11"/>
        <color theme="1"/>
        <rFont val="Aptos Narrow"/>
        <family val="2"/>
        <scheme val="minor"/>
      </rPr>
      <t xml:space="preserve">donnée source référentielle V1 &lt;-&gt; disponible en flux Georisques, </t>
    </r>
    <r>
      <rPr>
        <strike/>
        <sz val="11"/>
        <color theme="1"/>
        <rFont val="Aptos Narrow"/>
        <family val="2"/>
        <scheme val="minor"/>
      </rPr>
      <t>sera poussée dans spatialege</t>
    </r>
  </si>
  <si>
    <t>Agriculture</t>
  </si>
  <si>
    <t>Surfaces agricoles du Registre Parcellaire Graphique (RPG) par catégorie</t>
  </si>
  <si>
    <t>Localiser et caractériser les surfaces cultivées par type de culture</t>
  </si>
  <si>
    <t>x (https://aquarepere.banquedesterritoires.fr/territoire/commune-57463/metz/decouvrir)</t>
  </si>
  <si>
    <t>donnée source référentielle V2+ &lt;-&gt; téléchargement d'un fichier géographique (IGN)</t>
  </si>
  <si>
    <t>Evolution des volumes d'eau prélevés à usage irrigation par type d'eau</t>
  </si>
  <si>
    <t>Evolution des volumes d'eau prélevés pour un usage irrigation par type d'eau (ESU, ESO) sur toute la chronique disponible (2008-&gt;2023)</t>
  </si>
  <si>
    <t>m3</t>
  </si>
  <si>
    <t>x
(type histogramme)
https://statics.teams.cdn.office.net/evergreen-assets/safelinks/2/atp-safelinks.html</t>
  </si>
  <si>
    <t>BNPE, chronique disponible 2008-2023</t>
  </si>
  <si>
    <t>donnée source référentielle V1 &lt;-&gt; disponible avec l'API Hub'eau</t>
  </si>
  <si>
    <t>Indicateur Deaumin'eau</t>
  </si>
  <si>
    <t>Pas identifié initialement</t>
  </si>
  <si>
    <t>Agriculture - Irrigation</t>
  </si>
  <si>
    <t>Surface Agricole Utilisée (SAU) irrigée</t>
  </si>
  <si>
    <t>Part de la SAU irriguée dans la superficie territoriale</t>
  </si>
  <si>
    <t>réaliser un prorata des surfaces pour les communes à cheval sur un territoire</t>
  </si>
  <si>
    <t>donnée source référentielle V2 &lt;-&gt; téléchargement d'un fichier CSV (Agreste) et reconstruction d'une table d'attributs</t>
  </si>
  <si>
    <t xml:space="preserve">Assainissement </t>
  </si>
  <si>
    <t>Caractéristiques des stations d'épuration des collectivités</t>
  </si>
  <si>
    <t xml:space="preserve">Capacités des stations d'épuration des collectivités (EH) par station </t>
  </si>
  <si>
    <t>EH</t>
  </si>
  <si>
    <t>Assainissement</t>
  </si>
  <si>
    <t>Personnes couvertes par l'assainissement collectif</t>
  </si>
  <si>
    <t>Indique le nombre d'habitants qui sont raccordé à l'assainissement collectif</t>
  </si>
  <si>
    <t xml:space="preserve">Projet de REUT </t>
  </si>
  <si>
    <t>Présence d'un projet de REUT sur la STEU</t>
  </si>
  <si>
    <t>Pas de couche géographique téléchargeable depuis le site de l'AC
https://assainissement.developpement-durable.gouv.fr/pages/data/carteIntReut.php
Juste un fichier excel sans coordonnées XY
Aller chercher les stations du fichier Excel dans le référentiel des STEU grâce au code SANDRE</t>
  </si>
  <si>
    <t>Prix de l'assainissement collectif</t>
  </si>
  <si>
    <t>Eau potable</t>
  </si>
  <si>
    <t>Evolution des volumes d'eau prélevés à usage AEP par type d'eau</t>
  </si>
  <si>
    <t>Evolution des volumes d'eau prélevés pour un usage AEP par type d'eau (ESU, ESO) sur toute la chronique disponible (2008-&gt;2023)</t>
  </si>
  <si>
    <t>Volume prélevé à usage AEP</t>
  </si>
  <si>
    <t>M3/habitant</t>
  </si>
  <si>
    <t>Indicateurs rendement des réseaux</t>
  </si>
  <si>
    <t xml:space="preserve">%  de réseau efficace (Min, Max, Moy) sur le territoire </t>
  </si>
  <si>
    <t>x
Symbologie par classe</t>
  </si>
  <si>
    <t>https://www.services.eaufrance.fr/indicateurs/P104.3
Fichier tabulaire des % à la commune -&gt; reconstruire une couche géographique pour croisement</t>
  </si>
  <si>
    <t>Identifier la source de données</t>
  </si>
  <si>
    <t>Indicateurs prix de l'eau</t>
  </si>
  <si>
    <t>€/m3 pour une consommation moyenne de 120m3 max (Min, Max, Moy) sur le territoire</t>
  </si>
  <si>
    <t>€</t>
  </si>
  <si>
    <t>https://www.services.eaufrance.fr/indicateurs/D102.0
Fichier tabulaire des prix à la commune -&gt; reconstruire une couche géographique pour croisement</t>
  </si>
  <si>
    <t>AAC</t>
  </si>
  <si>
    <t>% du territoire couvert par une AAC</t>
  </si>
  <si>
    <t>disponible en flux Sandre</t>
  </si>
  <si>
    <t>Captages sensibles/prioritaire</t>
  </si>
  <si>
    <r>
      <rPr>
        <sz val="11"/>
        <color theme="1"/>
        <rFont val="Aptos Narrow"/>
        <family val="2"/>
        <scheme val="minor"/>
      </rPr>
      <t xml:space="preserve">Nombre de captages sensibles ou captages prioritaires sur le territoire (SDAGE)
</t>
    </r>
    <r>
      <rPr>
        <b/>
        <sz val="11"/>
        <color indexed="2"/>
        <rFont val="Aptos Narrow"/>
        <family val="2"/>
        <scheme val="minor"/>
      </rPr>
      <t>Reboucler les sources de données avec Lajlah (cf. mail transmis par Lajlah sur la différence entre les 2)</t>
    </r>
  </si>
  <si>
    <t>Pas de carte de localisation (protection localisation précise)</t>
  </si>
  <si>
    <t>Plans eau</t>
  </si>
  <si>
    <t>Nombre de sites de baignade</t>
  </si>
  <si>
    <t>(x)
Renvoie vers https://baignades.sante.gouv.fr/baignades/homeMap.do#a</t>
  </si>
  <si>
    <t>Comparatif par rapport au GE</t>
  </si>
  <si>
    <t>donnée source référentielle V2 &lt;-&gt; fichier annuel à télécharger</t>
  </si>
  <si>
    <t>Sites de baignade par classe de qualité des eaux de baignade</t>
  </si>
  <si>
    <t>Excellent / Bon / Suffisant / Insuffisant / Insuffisamment de prélèvements / Site non classé / Interdiction</t>
  </si>
  <si>
    <t>Prélèvement</t>
  </si>
  <si>
    <t>Evolution des volumes d'eau prélevés tous usages confondus par type d'eau</t>
  </si>
  <si>
    <t>Evolution des volumes d'eau prélevés tous usages confondus par type d'eau (ESU, ESO) sur toute la chronique disponible (2008-&gt;2023)</t>
  </si>
  <si>
    <t>CONT / LIT / SOUT / STOC
cf. https://www.sandre.eaufrance.fr/?urn=urn:sandre:donnees:472::::::referentiel:3.1:html</t>
  </si>
  <si>
    <t>Evolution des volumes d'eau prélevés à usage industrie par type d'eau</t>
  </si>
  <si>
    <t>Evolution des volumes d'eau prélevés pour un usage industrie par type d'eau (ESU, ESO) sur toute la chronique disponible (2008-&gt;2023)</t>
  </si>
  <si>
    <t>prévoir des comparatifs par rapport au GE</t>
  </si>
  <si>
    <t>Ecart par rapport à une moyenne annuelle</t>
  </si>
  <si>
    <t>Prévoir une période de référence et indiquer l'écart (à discuter)</t>
  </si>
  <si>
    <t>Indicateur d'impact / zone à risque ou non</t>
  </si>
  <si>
    <t>Emission polluantes par industrie? Géoriques</t>
  </si>
  <si>
    <t>Vulnérabilité et adaptation climatique</t>
  </si>
  <si>
    <t>Exposition</t>
  </si>
  <si>
    <t>Normales climatiques</t>
  </si>
  <si>
    <t>Températures moyennes mensuelles de l'année n-1</t>
  </si>
  <si>
    <t>Valeur de températures moyennes mensuelles sur l'année n-1</t>
  </si>
  <si>
    <t>°C</t>
  </si>
  <si>
    <t>x
(histogramme)</t>
  </si>
  <si>
    <t>SAFRAN</t>
  </si>
  <si>
    <t>Mise à disposition obligatoire / doit être reconstituée</t>
  </si>
  <si>
    <t>Antea fournit la donnée</t>
  </si>
  <si>
    <t>Températures moyennes mensuelles sur la période de référence (1991-2020)</t>
  </si>
  <si>
    <t>Valeur de températures moyennes mensuelles sur la période de référence (1991-2020)</t>
  </si>
  <si>
    <t>Température moyenne annuelle de l'année n-1</t>
  </si>
  <si>
    <t>Valeur de température moyenne annuelle sur l'année n-1</t>
  </si>
  <si>
    <t>Température moyenne annuelle sur la période de référence (1991-2020)</t>
  </si>
  <si>
    <t>Valeur de température moyenne annuelle sur la période de référence (1991-2020)</t>
  </si>
  <si>
    <t>Cumuls de précipitations mensuelles de l'année n-1</t>
  </si>
  <si>
    <t>Valeur de précipitations moyennes mensuelles sur l'année n-1</t>
  </si>
  <si>
    <t>mm</t>
  </si>
  <si>
    <t>Cumuls de précipitations moyennes mensuelles sur la période de référence (1991-2020)</t>
  </si>
  <si>
    <t>Valeur de précipitations moyennes mensuelles sur la période de référence (1991-2020)</t>
  </si>
  <si>
    <t>Cumul de précipitation moyenne annuelle de l'année n-1</t>
  </si>
  <si>
    <t>Valeur de précipitation moyenne annuelle sur l'année n-1</t>
  </si>
  <si>
    <t>Cumul de précipitation moyenne annuelle sur la période de référence (1991-2020)</t>
  </si>
  <si>
    <t>Valeur de précipitation moyenne annuelle sur la période de référence (1991-2020)</t>
  </si>
  <si>
    <t>Evolution climat passé</t>
  </si>
  <si>
    <t>Evolution des températures moyennes annuelles sur la période de référence (1991-2020)</t>
  </si>
  <si>
    <t>x
(tendance)</t>
  </si>
  <si>
    <t>Renforcement de l'expertise</t>
  </si>
  <si>
    <t>Evolution des cumuls de précipitations moyennes annuelles sur la période de référence (1991-2020)</t>
  </si>
  <si>
    <t>Vulnérabilité au changement climatique</t>
  </si>
  <si>
    <t>Reprise des résultats des atlas de vulnérabilité des comités de bassins Seine Normandie et Rhin Meuse et RMC</t>
  </si>
  <si>
    <t>il pourra s'agit de reprendre la vulnérabiltié globale ou indicateur par indicateur. Il faudra arriver à mettre en cohérence les 3 sources de d'information, et récupérer la donnée en format .shp. Cette vulnérabilité peut éventuellement (difficile) être co-construite avec la région</t>
  </si>
  <si>
    <t>Gestion</t>
  </si>
  <si>
    <t>Nombre de jours sous arrêtés de restrictions d'eau de l'année n-1</t>
  </si>
  <si>
    <t>Nombre de jours sous arrêtés de restrictions d'eau par niveau de gravité (Vigilance, Alerte, Alerte renforcée et Crise) de l'année n-1
+ Faire un renvoi vers VIGIEAU pour année en cours</t>
  </si>
  <si>
    <t>Vigilance / Alerte / Alerte renforcée / Crise</t>
  </si>
  <si>
    <t>Source : VigiEau / prévoir un comparatif par rapport au Dpt, Région - prévoir la possibilité de faire une évolution annuelle</t>
  </si>
  <si>
    <t>Fichier Excel à télécharger à pas de temps régulier</t>
  </si>
  <si>
    <t>Eaux superficielles</t>
  </si>
  <si>
    <t>Répartition mensuelle (de mai à septembre) des observations visuelles sur l'écoulement des cours d'eau par modalités d'écoulement (Ecoulement visible, Ecoulement non visible et Assec) de l'année n-1
+ Faire un renvoi vers ONDE pour année en cours</t>
  </si>
  <si>
    <t>Ecoulement visible / Ecoulement non visible / Assec</t>
  </si>
  <si>
    <t>a mettre également dans l'espace cartographique</t>
  </si>
  <si>
    <t>Répartition mensuelle (de mai à septembre) des observations visuelles sur l'écoulement des cours d'eau par modalités d'écoulement (Ecoulement visible, Ecoulement non visible et Assec) sur la période disponible
+ Faire un renvoi vers ONDE pour année en cours</t>
  </si>
  <si>
    <t>Pénurie eau potable</t>
  </si>
  <si>
    <t>Captages avec interruption d'alimentation AEP</t>
  </si>
  <si>
    <t>information sur la rupture d'alimentation en année sèche disponible dans BDD ARS ?
Si c'est bien le cas, prévoir une convention Région/ARS pour collecte des données</t>
  </si>
  <si>
    <t>Hydrologie</t>
  </si>
  <si>
    <t>Indicateurs d'impact sur la population (surface inondable vs nbre d'hab par exemple)</t>
  </si>
  <si>
    <t>CatNat</t>
  </si>
  <si>
    <t>Nombre d'arrêtés de catastrophes naturelles de l'année n-1</t>
  </si>
  <si>
    <t>Nombre d'arrêtés de catastrophes naturelles par type de risque (Sécheresse, Inondations, etc.) de l'année n-1</t>
  </si>
  <si>
    <t>Il existe de nombreux risques identifiés (environ 20). Proposition de conserver uniquement le risque Sécheresse / Inondations et/ou Coulées de Boue / Inondations Remontée Nappe ?</t>
  </si>
  <si>
    <t>Lajlah : oui, ne conserver que les risques en liens avec l'eau, votre proposition me convient !</t>
  </si>
  <si>
    <t>fiche d'identité</t>
  </si>
  <si>
    <t>Volume prélevé</t>
  </si>
  <si>
    <t>Somme des volumes d'eau prélevée tous usages confondus par le type de ressource ESU sur toute la chronique disponible (BNPE 2008-2023)</t>
  </si>
  <si>
    <t xml:space="preserve">Reprise indicateurs Ressources
</t>
  </si>
  <si>
    <t>Somme des volumes d'eau prélevée tous usages confondus par le type de ressource ESO sur toute la chronique disponible (BNPE 2008-2023)</t>
  </si>
  <si>
    <t>Données administratives</t>
  </si>
  <si>
    <t>Population</t>
  </si>
  <si>
    <t xml:space="preserve">Population totale </t>
  </si>
  <si>
    <t>Population totale sur un territoire donné</t>
  </si>
  <si>
    <t>Nombre d'habitant</t>
  </si>
  <si>
    <t xml:space="preserve">champ pmun_rp2023 de la table commune_actuelle du schéma acal de la base spatialege </t>
  </si>
  <si>
    <t xml:space="preserve">Evolution de la population totale </t>
  </si>
  <si>
    <t>Evolution de la population totale sur toute la chronique disponible (source Région)</t>
  </si>
  <si>
    <t xml:space="preserve">champs pnum_rp2006 -&gt; pmun_rp2023 de la table commune_actuelle du schéma acal de la base spatialege </t>
  </si>
  <si>
    <t>Densité</t>
  </si>
  <si>
    <t>Indique le nombre d'habitant au km2 / prévoir un comparatif par rapport au GE</t>
  </si>
  <si>
    <t>hab/km2</t>
  </si>
  <si>
    <t xml:space="preserve">table commune_actuelle du schéma acal de spatialege </t>
  </si>
  <si>
    <t>Ruralité</t>
  </si>
  <si>
    <t>Indique la typologie du territoire (selon l'échelle, prévoir des comparatifs)</t>
  </si>
  <si>
    <t>Uniquement à la commune sinon renvoie vers site Région</t>
  </si>
  <si>
    <t>champ lib_insee_grille_7n_2025 de la table commune_actuelle du schéma acal de la base spatialege</t>
  </si>
  <si>
    <t>Superficie du territoire</t>
  </si>
  <si>
    <t>Superficie</t>
  </si>
  <si>
    <t>Indique la superficie du territoire donnée</t>
  </si>
  <si>
    <t>km2</t>
  </si>
  <si>
    <t>Uniquement sur les territoires administratifs (donc pas hydrographiques)</t>
  </si>
  <si>
    <t xml:space="preserve">champ superf_km de la table commune_actuelle du schéma acal de la base spatialege </t>
  </si>
  <si>
    <t>Echelles administratives</t>
  </si>
  <si>
    <t>Nom du territoire</t>
  </si>
  <si>
    <t>Indique si le territoire donné est une commune, une EPCI….</t>
  </si>
  <si>
    <t>oui/non</t>
  </si>
  <si>
    <t>Echelles géographiques</t>
  </si>
  <si>
    <t>Indique si le territoire donné est un BV…</t>
  </si>
  <si>
    <t>Echelles territoires de projet</t>
  </si>
  <si>
    <t>Indique si le territoire donné est un SCOT, PAOT, PTG, SAGE,…</t>
  </si>
  <si>
    <t>Coûts de la gestion de l'eau</t>
  </si>
  <si>
    <t>Prix de l'eau</t>
  </si>
  <si>
    <t>Présenter prix des services de l'eau des collectivités compétentes en matière de distribution</t>
  </si>
  <si>
    <t>Captages sensibles</t>
  </si>
  <si>
    <t>Nombre de captages sensibles sur le territoire</t>
  </si>
  <si>
    <t>Evolution du nombre d'arrêtés de catastrophes naturelles sur la période disponible</t>
  </si>
  <si>
    <t>Evolution du nombre d'arrêtés de catastrophes naturelles par type de risque (Sécheresse, Inondations, etc.) sur la période disponible</t>
  </si>
  <si>
    <t>Voir Alexandre pour dispo donnée</t>
  </si>
  <si>
    <t>Tendance d'évolution des températures moyennes annuelles sur la période de référence (1991-2020)</t>
  </si>
  <si>
    <t>Tendance d'évolution des cumuls de précipitations moyennes annuelles sur la période de référence (1991-2020)</t>
  </si>
  <si>
    <t>°C/an</t>
  </si>
  <si>
    <t>mm/an</t>
  </si>
  <si>
    <t>Evolution annuelle du nombre de jours sous arrêtés de restrictions d'eau sur la période disponible</t>
  </si>
  <si>
    <t xml:space="preserve">Evolution annuelle du nombre de jours sous arrêtés de restrictions d'eau par niveau de gravité (Vigilance, Alerte, Alerte renforcée et Crise) sur la période disponible
</t>
  </si>
  <si>
    <t xml:space="preserve"> </t>
  </si>
  <si>
    <t>Observations visuelles sur l'écoulement des cours d'eau de l'année n-1</t>
  </si>
  <si>
    <t>Observations visuelles sur l'écoulement des cours d'eau sur la période disponible (de 2012 à l'année n-1)</t>
  </si>
  <si>
    <t>Fichier CSV à télécharger à pas de temps régulier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</si>
</sst>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2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b/>
      <sz val="11"/>
      <color indexed="2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9E5ECE"/>
      </patternFill>
    </fill>
    <fill>
      <patternFill patternType="solid">
        <fgColor rgb="FFCCECFF"/>
      </patternFill>
    </fill>
    <fill>
      <patternFill patternType="solid">
        <fgColor indexed="2"/>
      </patternFill>
    </fill>
    <fill>
      <patternFill patternType="solid">
        <fgColor indexed="5"/>
      </patternFill>
    </fill>
    <fill>
      <patternFill patternType="solid">
        <fgColor theme="3" tint="0.499984740745262"/>
        <bgColor indexed="65"/>
      </patternFill>
    </fill>
    <fill>
      <patternFill patternType="solid">
        <fgColor indexed="57"/>
      </patternFill>
    </fill>
    <fill>
      <patternFill patternType="solid">
        <fgColor rgb="FFE86D2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1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6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9" borderId="0" xfId="0" applyFill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0" xfId="0" quotePrefix="1" applyAlignment="1">
      <alignment vertical="center"/>
    </xf>
    <xf numFmtId="0" fontId="3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9" fontId="10" fillId="0" borderId="0" xfId="0" applyNumberFormat="1" applyFont="1" applyAlignment="1">
      <alignment vertical="center" wrapText="1"/>
    </xf>
    <xf numFmtId="9" fontId="14" fillId="0" borderId="0" xfId="0" applyNumberFormat="1" applyFont="1" applyAlignment="1">
      <alignment vertical="center" wrapText="1"/>
    </xf>
    <xf numFmtId="9" fontId="15" fillId="0" borderId="0" xfId="0" applyNumberFormat="1" applyFont="1" applyAlignment="1">
      <alignment vertical="center" wrapText="1"/>
    </xf>
  </cellXfs>
  <cellStyles count="3">
    <cellStyle name="Lien hypertexte 2" xfId="1" xr:uid="{00000000-0005-0000-0000-000001000000}"/>
    <cellStyle name="Normal" xfId="0" builtinId="0"/>
    <cellStyle name="Normal 2" xfId="2" xr:uid="{00000000-0005-0000-0000-000003000000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ill>
        <patternFill patternType="solid">
          <fgColor theme="9"/>
          <bgColor theme="9"/>
        </patternFill>
      </fill>
    </dxf>
    <dxf>
      <font>
        <color theme="1" tint="0.34998626667073579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i val="0"/>
        <color indexed="2"/>
      </font>
      <fill>
        <patternFill patternType="solid">
          <fgColor theme="1" tint="0.34998626667073579"/>
          <bgColor theme="1" tint="0.3499862666707357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i val="0"/>
        <color indexed="2"/>
      </font>
      <fill>
        <patternFill patternType="solid">
          <fgColor theme="1" tint="0.34998626667073579"/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904861</xdr:colOff>
      <xdr:row>0</xdr:row>
      <xdr:rowOff>666747</xdr:rowOff>
    </xdr:from>
    <xdr:to>
      <xdr:col>18</xdr:col>
      <xdr:colOff>2266939</xdr:colOff>
      <xdr:row>1</xdr:row>
      <xdr:rowOff>514554</xdr:rowOff>
    </xdr:to>
    <xdr:pic>
      <xdr:nvPicPr>
        <xdr:cNvPr id="906606904" name="Image 2">
          <a:extLst>
            <a:ext uri="{FF2B5EF4-FFF2-40B4-BE49-F238E27FC236}">
              <a16:creationId xmlns:a16="http://schemas.microsoft.com/office/drawing/2014/main" id="{00000000-0008-0000-0000-000038B909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40217145" y="39279366"/>
          <a:ext cx="1358264" cy="467019"/>
        </a:xfrm>
        <a:prstGeom prst="rect">
          <a:avLst/>
        </a:prstGeom>
      </xdr:spPr>
    </xdr:pic>
    <xdr:clientData/>
  </xdr:twoCellAnchor>
  <xdr:twoCellAnchor editAs="oneCell">
    <xdr:from>
      <xdr:col>18</xdr:col>
      <xdr:colOff>2514586</xdr:colOff>
      <xdr:row>0</xdr:row>
      <xdr:rowOff>666747</xdr:rowOff>
    </xdr:from>
    <xdr:to>
      <xdr:col>18</xdr:col>
      <xdr:colOff>3947148</xdr:colOff>
      <xdr:row>1</xdr:row>
      <xdr:rowOff>514554</xdr:rowOff>
    </xdr:to>
    <xdr:pic>
      <xdr:nvPicPr>
        <xdr:cNvPr id="314880460" name="Image 3">
          <a:extLst>
            <a:ext uri="{FF2B5EF4-FFF2-40B4-BE49-F238E27FC236}">
              <a16:creationId xmlns:a16="http://schemas.microsoft.com/office/drawing/2014/main" id="{00000000-0008-0000-0000-0000CCB1C4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41826870" y="39279366"/>
          <a:ext cx="1428750" cy="431480"/>
        </a:xfrm>
        <a:prstGeom prst="rect">
          <a:avLst/>
        </a:prstGeom>
      </xdr:spPr>
    </xdr:pic>
    <xdr:clientData/>
  </xdr:twoCellAnchor>
  <xdr:twoCellAnchor editAs="oneCell">
    <xdr:from>
      <xdr:col>18</xdr:col>
      <xdr:colOff>190485</xdr:colOff>
      <xdr:row>0</xdr:row>
      <xdr:rowOff>666747</xdr:rowOff>
    </xdr:from>
    <xdr:to>
      <xdr:col>18</xdr:col>
      <xdr:colOff>2361691</xdr:colOff>
      <xdr:row>2</xdr:row>
      <xdr:rowOff>244800</xdr:rowOff>
    </xdr:to>
    <xdr:pic>
      <xdr:nvPicPr>
        <xdr:cNvPr id="1251977514" name="Image 4">
          <a:extLst>
            <a:ext uri="{FF2B5EF4-FFF2-40B4-BE49-F238E27FC236}">
              <a16:creationId xmlns:a16="http://schemas.microsoft.com/office/drawing/2014/main" id="{00000000-0008-0000-0000-00002AA99F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tretch/>
      </xdr:blipFill>
      <xdr:spPr bwMode="auto">
        <a:xfrm>
          <a:off x="39502770" y="48600877"/>
          <a:ext cx="2171205" cy="664021"/>
        </a:xfrm>
        <a:prstGeom prst="rect">
          <a:avLst/>
        </a:prstGeom>
      </xdr:spPr>
    </xdr:pic>
    <xdr:clientData/>
  </xdr:twoCellAnchor>
  <xdr:oneCellAnchor>
    <xdr:from>
      <xdr:col>21</xdr:col>
      <xdr:colOff>1685163</xdr:colOff>
      <xdr:row>41</xdr:row>
      <xdr:rowOff>372822</xdr:rowOff>
    </xdr:from>
    <xdr:ext cx="12903428" cy="3892028"/>
    <xdr:pic>
      <xdr:nvPicPr>
        <xdr:cNvPr id="1568111691" name="Image 5">
          <a:extLst>
            <a:ext uri="{FF2B5EF4-FFF2-40B4-BE49-F238E27FC236}">
              <a16:creationId xmlns:a16="http://schemas.microsoft.com/office/drawing/2014/main" id="{00000000-0008-0000-0000-00004B7C77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51993038" y="2174636"/>
          <a:ext cx="12903428" cy="3892028"/>
        </a:xfrm>
        <a:prstGeom prst="rect">
          <a:avLst/>
        </a:prstGeom>
      </xdr:spPr>
    </xdr:pic>
    <xdr:clientData/>
  </xdr:oneCellAnchor>
  <xdr:oneCellAnchor>
    <xdr:from>
      <xdr:col>19</xdr:col>
      <xdr:colOff>1421475</xdr:colOff>
      <xdr:row>45</xdr:row>
      <xdr:rowOff>105604</xdr:rowOff>
    </xdr:from>
    <xdr:ext cx="1032509" cy="311432"/>
    <xdr:pic>
      <xdr:nvPicPr>
        <xdr:cNvPr id="1113550986" name="Image 7">
          <a:extLst>
            <a:ext uri="{FF2B5EF4-FFF2-40B4-BE49-F238E27FC236}">
              <a16:creationId xmlns:a16="http://schemas.microsoft.com/office/drawing/2014/main" id="{00000000-0008-0000-0000-00008A705F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47617725" y="27433695"/>
          <a:ext cx="1032509" cy="311432"/>
        </a:xfrm>
        <a:prstGeom prst="rect">
          <a:avLst/>
        </a:prstGeom>
      </xdr:spPr>
    </xdr:pic>
    <xdr:clientData/>
  </xdr:oneCellAnchor>
  <xdr:oneCellAnchor>
    <xdr:from>
      <xdr:col>19</xdr:col>
      <xdr:colOff>1421475</xdr:colOff>
      <xdr:row>46</xdr:row>
      <xdr:rowOff>105604</xdr:rowOff>
    </xdr:from>
    <xdr:ext cx="1032509" cy="311432"/>
    <xdr:pic>
      <xdr:nvPicPr>
        <xdr:cNvPr id="989046089" name="Image 8">
          <a:extLst>
            <a:ext uri="{FF2B5EF4-FFF2-40B4-BE49-F238E27FC236}">
              <a16:creationId xmlns:a16="http://schemas.microsoft.com/office/drawing/2014/main" id="{00000000-0008-0000-0000-000049A5F3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/>
      </xdr:blipFill>
      <xdr:spPr bwMode="auto">
        <a:xfrm>
          <a:off x="47617725" y="27979218"/>
          <a:ext cx="1032509" cy="311432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e Pettenati" id="{4D57FC5B-052E-FF2D-043F-06A66886D216}" userId="mpettenati" providerId="Teamlab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6-26T09:25:45.83" personId="{4D57FC5B-052E-FF2D-043F-06A66886D216}" id="{DE31EA5A-FCBF-6BEA-7A68-3E894837659D}" done="1">
    <text xml:space="preserve">Attention, ce n'est pas une clé d'entrée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4" tint="-0.249977111117893"/>
  </sheetPr>
  <dimension ref="A1:V106"/>
  <sheetViews>
    <sheetView tabSelected="1" zoomScale="90" zoomScaleNormal="90" workbookViewId="0">
      <pane ySplit="1" topLeftCell="A2" activePane="bottomLeft" state="frozen"/>
      <selection activeCell="T5" sqref="T5"/>
      <selection pane="bottomLeft" activeCell="A2" sqref="A2"/>
    </sheetView>
  </sheetViews>
  <sheetFormatPr baseColWidth="10" defaultColWidth="27.5546875" defaultRowHeight="14.4" x14ac:dyDescent="0.3"/>
  <cols>
    <col min="1" max="1" width="33.88671875" style="2" customWidth="1"/>
    <col min="2" max="2" width="16.6640625" style="2" customWidth="1"/>
    <col min="3" max="3" width="19.6640625" style="2" customWidth="1"/>
    <col min="4" max="4" width="28" style="1" customWidth="1"/>
    <col min="5" max="5" width="37.33203125" style="2" customWidth="1"/>
    <col min="6" max="6" width="51" style="1" customWidth="1"/>
    <col min="7" max="7" width="17.21875" style="1" customWidth="1"/>
    <col min="8" max="8" width="21.109375" style="1" customWidth="1"/>
    <col min="9" max="9" width="18.33203125" style="1" customWidth="1"/>
    <col min="10" max="10" width="26.109375" style="1" bestFit="1" customWidth="1"/>
    <col min="11" max="11" width="17.33203125" style="1" customWidth="1"/>
    <col min="12" max="12" width="21.77734375" style="1" bestFit="1" customWidth="1"/>
    <col min="13" max="13" width="76.5546875" style="1" customWidth="1"/>
    <col min="14" max="17" width="27.5546875" style="1" customWidth="1"/>
    <col min="18" max="18" width="27.5546875" style="1" hidden="1" customWidth="1"/>
    <col min="19" max="19" width="90.33203125" style="1" bestFit="1" customWidth="1"/>
    <col min="20" max="20" width="49.88671875" style="1" bestFit="1" customWidth="1"/>
    <col min="21" max="21" width="24.77734375" style="1" bestFit="1" customWidth="1"/>
    <col min="22" max="16384" width="27.5546875" style="1"/>
  </cols>
  <sheetData>
    <row r="1" spans="1:22" ht="57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ht="57.6" x14ac:dyDescent="0.3">
      <c r="A2" s="4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5" t="s">
        <v>30</v>
      </c>
      <c r="J2" s="6" t="s">
        <v>31</v>
      </c>
      <c r="K2" s="5"/>
      <c r="L2" s="5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7" t="s">
        <v>37</v>
      </c>
      <c r="S2" s="2" t="s">
        <v>38</v>
      </c>
      <c r="T2" s="2" t="s">
        <v>39</v>
      </c>
      <c r="U2" s="2" t="s">
        <v>40</v>
      </c>
    </row>
    <row r="3" spans="1:22" ht="57.6" x14ac:dyDescent="0.3">
      <c r="A3" s="4" t="s">
        <v>22</v>
      </c>
      <c r="B3" s="2" t="s">
        <v>23</v>
      </c>
      <c r="C3" s="2" t="s">
        <v>24</v>
      </c>
      <c r="D3" s="2" t="s">
        <v>25</v>
      </c>
      <c r="E3" s="2" t="s">
        <v>41</v>
      </c>
      <c r="F3" s="2" t="s">
        <v>27</v>
      </c>
      <c r="G3" s="2" t="s">
        <v>42</v>
      </c>
      <c r="H3" s="2" t="s">
        <v>29</v>
      </c>
      <c r="I3" s="5"/>
      <c r="J3" s="6" t="s">
        <v>31</v>
      </c>
      <c r="K3" s="5"/>
      <c r="L3" s="5" t="s">
        <v>32</v>
      </c>
      <c r="M3" s="2" t="s">
        <v>43</v>
      </c>
      <c r="N3" s="2" t="s">
        <v>34</v>
      </c>
      <c r="O3" s="2" t="s">
        <v>35</v>
      </c>
      <c r="P3" s="2" t="s">
        <v>36</v>
      </c>
      <c r="Q3" s="7" t="s">
        <v>37</v>
      </c>
      <c r="S3" s="2" t="s">
        <v>38</v>
      </c>
      <c r="T3" s="2" t="s">
        <v>39</v>
      </c>
      <c r="U3" s="2" t="s">
        <v>40</v>
      </c>
    </row>
    <row r="4" spans="1:22" ht="57.6" x14ac:dyDescent="0.3">
      <c r="A4" s="4" t="s">
        <v>22</v>
      </c>
      <c r="B4" s="2" t="s">
        <v>23</v>
      </c>
      <c r="C4" s="2" t="s">
        <v>24</v>
      </c>
      <c r="D4" s="2" t="s">
        <v>25</v>
      </c>
      <c r="E4" s="2" t="s">
        <v>44</v>
      </c>
      <c r="F4" s="2" t="s">
        <v>45</v>
      </c>
      <c r="G4" s="2" t="s">
        <v>46</v>
      </c>
      <c r="H4" s="2" t="s">
        <v>29</v>
      </c>
      <c r="I4" s="5"/>
      <c r="J4" s="6" t="s">
        <v>31</v>
      </c>
      <c r="K4" s="5"/>
      <c r="L4" s="5" t="s">
        <v>32</v>
      </c>
      <c r="M4" s="2" t="s">
        <v>43</v>
      </c>
      <c r="N4" s="2" t="s">
        <v>34</v>
      </c>
      <c r="O4" s="2" t="s">
        <v>35</v>
      </c>
      <c r="P4" s="2" t="s">
        <v>36</v>
      </c>
      <c r="Q4" s="7" t="s">
        <v>37</v>
      </c>
      <c r="S4" s="2" t="s">
        <v>38</v>
      </c>
      <c r="T4" s="2" t="s">
        <v>39</v>
      </c>
      <c r="U4" s="2" t="s">
        <v>40</v>
      </c>
    </row>
    <row r="5" spans="1:22" ht="57.6" x14ac:dyDescent="0.3">
      <c r="A5" s="4" t="s">
        <v>22</v>
      </c>
      <c r="B5" s="2" t="s">
        <v>23</v>
      </c>
      <c r="C5" s="2" t="s">
        <v>24</v>
      </c>
      <c r="D5" s="2" t="s">
        <v>25</v>
      </c>
      <c r="E5" s="2" t="s">
        <v>47</v>
      </c>
      <c r="F5" s="2" t="s">
        <v>48</v>
      </c>
      <c r="G5" s="2" t="s">
        <v>46</v>
      </c>
      <c r="H5" s="2" t="s">
        <v>29</v>
      </c>
      <c r="I5" s="5"/>
      <c r="J5" s="6"/>
      <c r="K5" s="5" t="s">
        <v>30</v>
      </c>
      <c r="L5" s="5" t="s">
        <v>49</v>
      </c>
      <c r="M5" s="2" t="s">
        <v>50</v>
      </c>
      <c r="N5" s="2" t="s">
        <v>34</v>
      </c>
      <c r="O5" s="2" t="s">
        <v>35</v>
      </c>
      <c r="P5" s="2" t="s">
        <v>36</v>
      </c>
      <c r="Q5" s="7" t="s">
        <v>37</v>
      </c>
      <c r="S5" s="2" t="s">
        <v>51</v>
      </c>
      <c r="T5" s="2" t="s">
        <v>39</v>
      </c>
      <c r="U5" s="2" t="s">
        <v>40</v>
      </c>
    </row>
    <row r="6" spans="1:22" ht="43.2" hidden="1" x14ac:dyDescent="0.3">
      <c r="A6" s="4" t="s">
        <v>22</v>
      </c>
      <c r="B6" s="2" t="s">
        <v>23</v>
      </c>
      <c r="C6" s="2" t="s">
        <v>24</v>
      </c>
      <c r="D6" s="2" t="s">
        <v>25</v>
      </c>
      <c r="E6" s="2" t="s">
        <v>52</v>
      </c>
      <c r="F6" s="2" t="s">
        <v>53</v>
      </c>
      <c r="G6" s="2" t="s">
        <v>42</v>
      </c>
      <c r="H6" s="2" t="s">
        <v>29</v>
      </c>
      <c r="I6" s="5"/>
      <c r="J6" s="5"/>
      <c r="K6" s="5" t="s">
        <v>54</v>
      </c>
      <c r="L6" s="5"/>
      <c r="M6" s="2" t="s">
        <v>55</v>
      </c>
      <c r="N6" s="2" t="s">
        <v>34</v>
      </c>
      <c r="O6" s="2" t="s">
        <v>56</v>
      </c>
      <c r="P6" s="8" t="s">
        <v>57</v>
      </c>
      <c r="Q6" s="7" t="s">
        <v>58</v>
      </c>
      <c r="S6" s="2" t="s">
        <v>59</v>
      </c>
      <c r="T6" s="1" t="s">
        <v>60</v>
      </c>
    </row>
    <row r="7" spans="1:22" ht="28.8" x14ac:dyDescent="0.3">
      <c r="A7" s="4" t="s">
        <v>22</v>
      </c>
      <c r="B7" s="2" t="s">
        <v>23</v>
      </c>
      <c r="C7" s="2" t="s">
        <v>24</v>
      </c>
      <c r="D7" s="2" t="s">
        <v>61</v>
      </c>
      <c r="E7" s="2" t="s">
        <v>62</v>
      </c>
      <c r="F7" s="2" t="s">
        <v>63</v>
      </c>
      <c r="G7" s="2" t="s">
        <v>28</v>
      </c>
      <c r="H7" s="1" t="s">
        <v>29</v>
      </c>
      <c r="I7" s="5" t="s">
        <v>30</v>
      </c>
      <c r="J7" s="5"/>
      <c r="K7" s="5" t="s">
        <v>30</v>
      </c>
      <c r="L7" s="5" t="s">
        <v>49</v>
      </c>
      <c r="M7" s="2" t="s">
        <v>49</v>
      </c>
      <c r="N7" s="2" t="s">
        <v>34</v>
      </c>
      <c r="O7" s="2" t="s">
        <v>35</v>
      </c>
      <c r="P7" s="2" t="s">
        <v>64</v>
      </c>
      <c r="Q7" s="7" t="s">
        <v>37</v>
      </c>
      <c r="S7" s="2" t="s">
        <v>65</v>
      </c>
      <c r="T7" s="27">
        <v>1</v>
      </c>
      <c r="U7" s="1" t="s">
        <v>66</v>
      </c>
    </row>
    <row r="8" spans="1:22" ht="28.8" x14ac:dyDescent="0.3">
      <c r="A8" s="4" t="s">
        <v>22</v>
      </c>
      <c r="B8" s="2" t="s">
        <v>23</v>
      </c>
      <c r="C8" s="2" t="s">
        <v>24</v>
      </c>
      <c r="D8" s="2" t="s">
        <v>61</v>
      </c>
      <c r="E8" s="2" t="s">
        <v>67</v>
      </c>
      <c r="F8" s="2" t="s">
        <v>68</v>
      </c>
      <c r="G8" s="2" t="s">
        <v>42</v>
      </c>
      <c r="H8" s="1" t="s">
        <v>29</v>
      </c>
      <c r="I8" s="5"/>
      <c r="J8" s="5"/>
      <c r="K8" s="5" t="s">
        <v>30</v>
      </c>
      <c r="L8" s="5" t="s">
        <v>49</v>
      </c>
      <c r="M8" s="2" t="s">
        <v>55</v>
      </c>
      <c r="N8" s="2" t="s">
        <v>34</v>
      </c>
      <c r="O8" s="2" t="s">
        <v>35</v>
      </c>
      <c r="P8" s="2" t="s">
        <v>64</v>
      </c>
      <c r="Q8" s="7" t="s">
        <v>37</v>
      </c>
      <c r="S8" s="2" t="s">
        <v>65</v>
      </c>
      <c r="T8" s="27">
        <v>1</v>
      </c>
      <c r="U8" s="1" t="s">
        <v>66</v>
      </c>
    </row>
    <row r="9" spans="1:22" ht="28.8" hidden="1" x14ac:dyDescent="0.3">
      <c r="A9" s="4" t="s">
        <v>22</v>
      </c>
      <c r="B9" s="2" t="s">
        <v>23</v>
      </c>
      <c r="C9" s="2" t="s">
        <v>24</v>
      </c>
      <c r="D9" s="2" t="s">
        <v>61</v>
      </c>
      <c r="E9" s="2" t="s">
        <v>69</v>
      </c>
      <c r="F9" s="2" t="s">
        <v>70</v>
      </c>
      <c r="G9" s="2" t="s">
        <v>71</v>
      </c>
      <c r="H9" s="1" t="s">
        <v>29</v>
      </c>
      <c r="I9" s="5"/>
      <c r="J9" s="5"/>
      <c r="K9" s="5" t="s">
        <v>30</v>
      </c>
      <c r="L9" s="5"/>
      <c r="M9" s="2" t="s">
        <v>49</v>
      </c>
      <c r="N9" s="2" t="s">
        <v>34</v>
      </c>
      <c r="O9" s="2" t="s">
        <v>56</v>
      </c>
      <c r="P9" s="8" t="s">
        <v>57</v>
      </c>
      <c r="Q9" s="7" t="s">
        <v>58</v>
      </c>
      <c r="S9" s="2" t="s">
        <v>72</v>
      </c>
      <c r="T9" s="1" t="s">
        <v>60</v>
      </c>
    </row>
    <row r="10" spans="1:22" ht="28.8" x14ac:dyDescent="0.3">
      <c r="A10" s="4" t="s">
        <v>22</v>
      </c>
      <c r="B10" s="2" t="s">
        <v>23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28</v>
      </c>
      <c r="H10" s="1" t="s">
        <v>29</v>
      </c>
      <c r="I10" s="6" t="s">
        <v>30</v>
      </c>
      <c r="J10" s="6"/>
      <c r="K10" s="6" t="s">
        <v>30</v>
      </c>
      <c r="L10" s="6" t="s">
        <v>49</v>
      </c>
      <c r="M10" s="2" t="s">
        <v>49</v>
      </c>
      <c r="N10" s="2" t="s">
        <v>34</v>
      </c>
      <c r="O10" s="2" t="s">
        <v>35</v>
      </c>
      <c r="P10" s="2" t="s">
        <v>64</v>
      </c>
      <c r="Q10" s="7" t="s">
        <v>37</v>
      </c>
      <c r="S10" s="2" t="s">
        <v>77</v>
      </c>
      <c r="T10" s="27">
        <v>1</v>
      </c>
      <c r="U10" s="2" t="s">
        <v>66</v>
      </c>
    </row>
    <row r="11" spans="1:22" ht="28.8" x14ac:dyDescent="0.3">
      <c r="A11" s="4" t="s">
        <v>22</v>
      </c>
      <c r="B11" s="2" t="s">
        <v>23</v>
      </c>
      <c r="C11" s="2" t="s">
        <v>73</v>
      </c>
      <c r="D11" s="2" t="s">
        <v>74</v>
      </c>
      <c r="E11" s="2" t="s">
        <v>78</v>
      </c>
      <c r="F11" s="2" t="s">
        <v>79</v>
      </c>
      <c r="G11" s="2" t="s">
        <v>46</v>
      </c>
      <c r="H11" s="1" t="s">
        <v>29</v>
      </c>
      <c r="I11" s="6"/>
      <c r="J11" s="6"/>
      <c r="K11" s="6" t="s">
        <v>30</v>
      </c>
      <c r="L11" s="6" t="s">
        <v>49</v>
      </c>
      <c r="M11" s="2" t="s">
        <v>55</v>
      </c>
      <c r="N11" s="2" t="s">
        <v>34</v>
      </c>
      <c r="O11" s="2" t="s">
        <v>35</v>
      </c>
      <c r="P11" s="2" t="s">
        <v>64</v>
      </c>
      <c r="Q11" s="7" t="s">
        <v>37</v>
      </c>
      <c r="S11" s="2" t="s">
        <v>77</v>
      </c>
      <c r="T11" s="27">
        <v>1</v>
      </c>
      <c r="U11" s="1" t="s">
        <v>66</v>
      </c>
    </row>
    <row r="12" spans="1:22" ht="100.8" x14ac:dyDescent="0.3">
      <c r="A12" s="4" t="s">
        <v>22</v>
      </c>
      <c r="B12" s="2" t="s">
        <v>23</v>
      </c>
      <c r="C12" s="2" t="s">
        <v>73</v>
      </c>
      <c r="D12" s="2" t="s">
        <v>74</v>
      </c>
      <c r="E12" s="2" t="s">
        <v>78</v>
      </c>
      <c r="F12" s="2" t="s">
        <v>80</v>
      </c>
      <c r="G12" s="2" t="s">
        <v>46</v>
      </c>
      <c r="H12" s="1" t="s">
        <v>29</v>
      </c>
      <c r="I12" s="6"/>
      <c r="J12" s="6" t="s">
        <v>31</v>
      </c>
      <c r="K12" s="6"/>
      <c r="L12" s="6" t="s">
        <v>81</v>
      </c>
      <c r="M12" s="2" t="s">
        <v>55</v>
      </c>
      <c r="N12" s="2" t="s">
        <v>34</v>
      </c>
      <c r="O12" s="2" t="s">
        <v>35</v>
      </c>
      <c r="P12" s="2" t="s">
        <v>64</v>
      </c>
      <c r="Q12" s="7" t="s">
        <v>37</v>
      </c>
      <c r="S12" s="2" t="s">
        <v>77</v>
      </c>
      <c r="T12" s="27">
        <v>1</v>
      </c>
      <c r="U12" s="1" t="s">
        <v>66</v>
      </c>
    </row>
    <row r="13" spans="1:22" ht="43.2" x14ac:dyDescent="0.3">
      <c r="A13" s="4" t="s">
        <v>22</v>
      </c>
      <c r="B13" s="2" t="s">
        <v>23</v>
      </c>
      <c r="C13" s="2" t="s">
        <v>73</v>
      </c>
      <c r="D13" s="2" t="s">
        <v>82</v>
      </c>
      <c r="E13" s="2" t="s">
        <v>83</v>
      </c>
      <c r="F13" s="2" t="s">
        <v>84</v>
      </c>
      <c r="G13" s="2" t="s">
        <v>46</v>
      </c>
      <c r="H13" s="1" t="s">
        <v>29</v>
      </c>
      <c r="I13" s="6" t="s">
        <v>85</v>
      </c>
      <c r="J13" s="6" t="s">
        <v>31</v>
      </c>
      <c r="L13" s="5" t="s">
        <v>86</v>
      </c>
      <c r="M13" s="2" t="s">
        <v>87</v>
      </c>
      <c r="N13" s="2" t="s">
        <v>34</v>
      </c>
      <c r="O13" s="2" t="s">
        <v>35</v>
      </c>
      <c r="P13" s="2" t="s">
        <v>88</v>
      </c>
      <c r="Q13" s="7" t="s">
        <v>37</v>
      </c>
      <c r="S13" s="2" t="s">
        <v>89</v>
      </c>
      <c r="T13" s="28">
        <v>0.5</v>
      </c>
      <c r="U13" s="2" t="s">
        <v>66</v>
      </c>
    </row>
    <row r="14" spans="1:22" ht="28.8" hidden="1" x14ac:dyDescent="0.3">
      <c r="A14" s="4" t="s">
        <v>22</v>
      </c>
      <c r="B14" s="2" t="s">
        <v>23</v>
      </c>
      <c r="C14" s="2" t="s">
        <v>73</v>
      </c>
      <c r="D14" s="2" t="s">
        <v>82</v>
      </c>
      <c r="E14" s="9" t="s">
        <v>90</v>
      </c>
      <c r="F14" s="2" t="s">
        <v>91</v>
      </c>
      <c r="G14" s="2" t="s">
        <v>46</v>
      </c>
      <c r="H14" s="1" t="s">
        <v>29</v>
      </c>
      <c r="I14" s="6"/>
      <c r="J14" s="6"/>
      <c r="K14" s="6" t="s">
        <v>30</v>
      </c>
      <c r="L14" s="6"/>
      <c r="M14" s="10" t="s">
        <v>92</v>
      </c>
      <c r="N14" s="2" t="s">
        <v>34</v>
      </c>
      <c r="O14" s="2" t="s">
        <v>56</v>
      </c>
      <c r="P14" s="8" t="s">
        <v>57</v>
      </c>
      <c r="Q14" s="7" t="s">
        <v>58</v>
      </c>
      <c r="S14" s="2" t="s">
        <v>93</v>
      </c>
      <c r="T14" s="1" t="s">
        <v>60</v>
      </c>
    </row>
    <row r="15" spans="1:22" ht="43.2" hidden="1" x14ac:dyDescent="0.3">
      <c r="A15" s="4" t="s">
        <v>22</v>
      </c>
      <c r="B15" s="2" t="s">
        <v>23</v>
      </c>
      <c r="C15" s="2" t="s">
        <v>73</v>
      </c>
      <c r="D15" s="2" t="s">
        <v>82</v>
      </c>
      <c r="E15" s="9" t="s">
        <v>94</v>
      </c>
      <c r="F15" s="2" t="s">
        <v>95</v>
      </c>
      <c r="G15" s="2" t="s">
        <v>54</v>
      </c>
      <c r="H15" s="1" t="s">
        <v>29</v>
      </c>
      <c r="I15" s="6"/>
      <c r="J15" s="6"/>
      <c r="K15" s="6" t="s">
        <v>30</v>
      </c>
      <c r="L15" s="6"/>
      <c r="M15" s="10" t="s">
        <v>92</v>
      </c>
      <c r="N15" s="2" t="s">
        <v>34</v>
      </c>
      <c r="O15" s="2" t="s">
        <v>56</v>
      </c>
      <c r="P15" s="8" t="s">
        <v>57</v>
      </c>
      <c r="Q15" s="7" t="s">
        <v>58</v>
      </c>
      <c r="S15" s="2" t="s">
        <v>93</v>
      </c>
      <c r="T15" s="1" t="s">
        <v>60</v>
      </c>
    </row>
    <row r="16" spans="1:22" ht="28.8" hidden="1" x14ac:dyDescent="0.3">
      <c r="A16" s="4" t="s">
        <v>22</v>
      </c>
      <c r="B16" s="2" t="s">
        <v>23</v>
      </c>
      <c r="C16" s="2" t="s">
        <v>73</v>
      </c>
      <c r="D16" s="2" t="s">
        <v>96</v>
      </c>
      <c r="E16" s="9" t="s">
        <v>97</v>
      </c>
      <c r="F16" s="2" t="s">
        <v>98</v>
      </c>
      <c r="G16" s="2" t="s">
        <v>42</v>
      </c>
      <c r="H16" s="1" t="s">
        <v>29</v>
      </c>
      <c r="I16" s="6"/>
      <c r="J16" s="6"/>
      <c r="K16" s="6" t="s">
        <v>30</v>
      </c>
      <c r="L16" s="6"/>
      <c r="M16" s="10" t="s">
        <v>92</v>
      </c>
      <c r="N16" s="2" t="s">
        <v>34</v>
      </c>
      <c r="O16" s="2" t="s">
        <v>56</v>
      </c>
      <c r="P16" s="8" t="s">
        <v>57</v>
      </c>
      <c r="Q16" s="7" t="s">
        <v>58</v>
      </c>
      <c r="S16" s="2" t="s">
        <v>93</v>
      </c>
      <c r="T16" s="1" t="s">
        <v>60</v>
      </c>
    </row>
    <row r="17" spans="1:21" ht="43.2" x14ac:dyDescent="0.3">
      <c r="A17" s="4" t="s">
        <v>22</v>
      </c>
      <c r="B17" s="2" t="s">
        <v>23</v>
      </c>
      <c r="C17" s="2" t="s">
        <v>73</v>
      </c>
      <c r="D17" s="11" t="s">
        <v>99</v>
      </c>
      <c r="E17" s="12" t="s">
        <v>100</v>
      </c>
      <c r="F17" s="2" t="s">
        <v>101</v>
      </c>
      <c r="G17" s="2" t="s">
        <v>46</v>
      </c>
      <c r="H17" s="1" t="s">
        <v>29</v>
      </c>
      <c r="I17" s="6" t="s">
        <v>30</v>
      </c>
      <c r="J17" s="6"/>
      <c r="K17" s="6" t="s">
        <v>30</v>
      </c>
      <c r="L17" s="6" t="s">
        <v>49</v>
      </c>
      <c r="M17" s="2" t="s">
        <v>49</v>
      </c>
      <c r="N17" s="2" t="s">
        <v>102</v>
      </c>
      <c r="O17" s="2" t="s">
        <v>35</v>
      </c>
      <c r="P17" s="2" t="s">
        <v>64</v>
      </c>
      <c r="Q17" s="7" t="s">
        <v>37</v>
      </c>
      <c r="S17" s="2" t="s">
        <v>77</v>
      </c>
      <c r="T17" s="27">
        <v>1</v>
      </c>
      <c r="U17" s="2" t="s">
        <v>66</v>
      </c>
    </row>
    <row r="18" spans="1:21" ht="28.8" x14ac:dyDescent="0.3">
      <c r="A18" s="4" t="s">
        <v>22</v>
      </c>
      <c r="B18" s="2" t="s">
        <v>23</v>
      </c>
      <c r="C18" s="2" t="s">
        <v>73</v>
      </c>
      <c r="D18" s="2" t="s">
        <v>103</v>
      </c>
      <c r="E18" s="12" t="s">
        <v>104</v>
      </c>
      <c r="F18" s="2" t="s">
        <v>105</v>
      </c>
      <c r="G18" s="2" t="s">
        <v>28</v>
      </c>
      <c r="H18" s="1" t="s">
        <v>29</v>
      </c>
      <c r="I18" s="6" t="s">
        <v>106</v>
      </c>
      <c r="J18" s="6"/>
      <c r="K18" s="6" t="s">
        <v>30</v>
      </c>
      <c r="L18" s="6" t="s">
        <v>49</v>
      </c>
      <c r="M18" s="2" t="s">
        <v>49</v>
      </c>
      <c r="N18" s="2" t="s">
        <v>34</v>
      </c>
      <c r="O18" s="2" t="s">
        <v>35</v>
      </c>
      <c r="P18" s="2" t="s">
        <v>64</v>
      </c>
      <c r="Q18" s="7" t="s">
        <v>37</v>
      </c>
      <c r="S18" s="2" t="s">
        <v>77</v>
      </c>
      <c r="T18" s="28">
        <v>0.5</v>
      </c>
      <c r="U18" s="2" t="s">
        <v>66</v>
      </c>
    </row>
    <row r="19" spans="1:21" ht="72" x14ac:dyDescent="0.3">
      <c r="A19" s="4" t="s">
        <v>22</v>
      </c>
      <c r="B19" s="2" t="s">
        <v>23</v>
      </c>
      <c r="C19" s="2" t="s">
        <v>73</v>
      </c>
      <c r="D19" s="2" t="s">
        <v>103</v>
      </c>
      <c r="E19" s="12" t="s">
        <v>107</v>
      </c>
      <c r="F19" s="2" t="s">
        <v>108</v>
      </c>
      <c r="G19" s="2" t="s">
        <v>28</v>
      </c>
      <c r="H19" s="1" t="s">
        <v>29</v>
      </c>
      <c r="I19" s="6" t="s">
        <v>106</v>
      </c>
      <c r="J19" s="6" t="s">
        <v>31</v>
      </c>
      <c r="L19" s="6" t="s">
        <v>109</v>
      </c>
      <c r="M19" s="2" t="s">
        <v>49</v>
      </c>
      <c r="N19" s="2" t="s">
        <v>34</v>
      </c>
      <c r="O19" s="2" t="s">
        <v>35</v>
      </c>
      <c r="P19" s="2" t="s">
        <v>64</v>
      </c>
      <c r="Q19" s="7" t="s">
        <v>37</v>
      </c>
      <c r="S19" s="2" t="s">
        <v>77</v>
      </c>
      <c r="T19" s="28">
        <v>0.5</v>
      </c>
      <c r="U19" s="2" t="s">
        <v>66</v>
      </c>
    </row>
    <row r="20" spans="1:21" ht="28.8" hidden="1" x14ac:dyDescent="0.3">
      <c r="A20" s="4" t="s">
        <v>22</v>
      </c>
      <c r="B20" s="2" t="s">
        <v>23</v>
      </c>
      <c r="C20" s="2" t="s">
        <v>73</v>
      </c>
      <c r="D20" s="2" t="s">
        <v>103</v>
      </c>
      <c r="E20" s="12" t="s">
        <v>110</v>
      </c>
      <c r="F20" s="2" t="s">
        <v>111</v>
      </c>
      <c r="G20" s="2" t="s">
        <v>28</v>
      </c>
      <c r="H20" s="1" t="s">
        <v>29</v>
      </c>
      <c r="I20" s="5" t="s">
        <v>30</v>
      </c>
      <c r="K20" s="6" t="s">
        <v>30</v>
      </c>
      <c r="L20" s="6"/>
      <c r="M20" s="2" t="s">
        <v>112</v>
      </c>
      <c r="N20" s="2" t="s">
        <v>34</v>
      </c>
      <c r="O20" s="2" t="s">
        <v>113</v>
      </c>
      <c r="P20" s="8" t="s">
        <v>57</v>
      </c>
      <c r="Q20" s="7" t="s">
        <v>58</v>
      </c>
      <c r="S20" s="2" t="s">
        <v>49</v>
      </c>
      <c r="T20" s="1" t="s">
        <v>60</v>
      </c>
    </row>
    <row r="21" spans="1:21" ht="115.2" x14ac:dyDescent="0.3">
      <c r="A21" s="13" t="s">
        <v>114</v>
      </c>
      <c r="B21" s="2" t="s">
        <v>23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119</v>
      </c>
      <c r="H21" s="2" t="s">
        <v>120</v>
      </c>
      <c r="I21" s="6" t="s">
        <v>106</v>
      </c>
      <c r="J21" s="6" t="s">
        <v>31</v>
      </c>
      <c r="L21" s="5" t="s">
        <v>121</v>
      </c>
      <c r="M21" s="2" t="s">
        <v>49</v>
      </c>
      <c r="N21" s="2" t="s">
        <v>34</v>
      </c>
      <c r="O21" s="2" t="s">
        <v>35</v>
      </c>
      <c r="P21" s="2" t="s">
        <v>64</v>
      </c>
      <c r="Q21" s="7" t="s">
        <v>37</v>
      </c>
      <c r="S21" s="2" t="s">
        <v>122</v>
      </c>
      <c r="T21" s="27">
        <v>1</v>
      </c>
      <c r="U21" s="2" t="s">
        <v>66</v>
      </c>
    </row>
    <row r="22" spans="1:21" ht="43.2" x14ac:dyDescent="0.3">
      <c r="A22" s="13" t="s">
        <v>114</v>
      </c>
      <c r="B22" s="2" t="s">
        <v>23</v>
      </c>
      <c r="C22" s="2" t="s">
        <v>115</v>
      </c>
      <c r="D22" s="2" t="s">
        <v>116</v>
      </c>
      <c r="E22" s="2" t="s">
        <v>123</v>
      </c>
      <c r="F22" s="2" t="s">
        <v>124</v>
      </c>
      <c r="G22" s="2" t="s">
        <v>119</v>
      </c>
      <c r="H22" s="2" t="s">
        <v>125</v>
      </c>
      <c r="I22" s="6" t="s">
        <v>106</v>
      </c>
      <c r="J22" s="6"/>
      <c r="K22" s="6" t="s">
        <v>30</v>
      </c>
      <c r="L22" s="6" t="s">
        <v>49</v>
      </c>
      <c r="M22" s="2" t="s">
        <v>49</v>
      </c>
      <c r="N22" s="2" t="s">
        <v>34</v>
      </c>
      <c r="O22" s="2" t="s">
        <v>35</v>
      </c>
      <c r="P22" s="2" t="s">
        <v>64</v>
      </c>
      <c r="Q22" s="7" t="s">
        <v>37</v>
      </c>
      <c r="S22" s="2" t="s">
        <v>77</v>
      </c>
      <c r="T22" s="27">
        <v>1</v>
      </c>
      <c r="U22" s="2" t="s">
        <v>66</v>
      </c>
    </row>
    <row r="23" spans="1:21" ht="43.2" x14ac:dyDescent="0.3">
      <c r="A23" s="13" t="s">
        <v>114</v>
      </c>
      <c r="B23" s="2" t="s">
        <v>23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119</v>
      </c>
      <c r="H23" s="2" t="s">
        <v>130</v>
      </c>
      <c r="I23" s="6" t="s">
        <v>106</v>
      </c>
      <c r="J23" s="6"/>
      <c r="K23" s="6" t="s">
        <v>30</v>
      </c>
      <c r="L23" s="6" t="s">
        <v>49</v>
      </c>
      <c r="M23" s="2" t="s">
        <v>49</v>
      </c>
      <c r="N23" s="2" t="s">
        <v>34</v>
      </c>
      <c r="O23" s="2" t="s">
        <v>35</v>
      </c>
      <c r="P23" s="2" t="s">
        <v>64</v>
      </c>
      <c r="Q23" s="7" t="s">
        <v>37</v>
      </c>
      <c r="S23" s="2" t="s">
        <v>131</v>
      </c>
      <c r="T23" s="27">
        <v>1</v>
      </c>
      <c r="U23" s="2" t="s">
        <v>66</v>
      </c>
    </row>
    <row r="24" spans="1:21" ht="100.8" x14ac:dyDescent="0.3">
      <c r="A24" s="13" t="s">
        <v>114</v>
      </c>
      <c r="B24" s="2" t="s">
        <v>23</v>
      </c>
      <c r="C24" s="2" t="s">
        <v>126</v>
      </c>
      <c r="D24" s="2" t="s">
        <v>127</v>
      </c>
      <c r="E24" s="2" t="s">
        <v>128</v>
      </c>
      <c r="F24" s="2" t="s">
        <v>132</v>
      </c>
      <c r="G24" s="2" t="s">
        <v>119</v>
      </c>
      <c r="H24" s="2" t="s">
        <v>130</v>
      </c>
      <c r="I24" s="6"/>
      <c r="J24" s="6" t="s">
        <v>31</v>
      </c>
      <c r="K24" s="6"/>
      <c r="L24" s="6" t="s">
        <v>133</v>
      </c>
      <c r="M24" s="2" t="s">
        <v>49</v>
      </c>
      <c r="N24" s="2" t="s">
        <v>34</v>
      </c>
      <c r="O24" s="2" t="s">
        <v>35</v>
      </c>
      <c r="P24" s="2" t="s">
        <v>64</v>
      </c>
      <c r="Q24" s="7" t="s">
        <v>37</v>
      </c>
      <c r="S24" s="2" t="s">
        <v>131</v>
      </c>
      <c r="T24" s="27">
        <v>1</v>
      </c>
      <c r="U24" s="2" t="s">
        <v>66</v>
      </c>
    </row>
    <row r="25" spans="1:21" ht="43.2" x14ac:dyDescent="0.3">
      <c r="A25" s="13" t="s">
        <v>114</v>
      </c>
      <c r="B25" s="2" t="s">
        <v>23</v>
      </c>
      <c r="C25" s="2" t="s">
        <v>126</v>
      </c>
      <c r="D25" s="2" t="s">
        <v>127</v>
      </c>
      <c r="E25" s="2" t="s">
        <v>134</v>
      </c>
      <c r="F25" s="2" t="s">
        <v>135</v>
      </c>
      <c r="G25" s="2" t="s">
        <v>119</v>
      </c>
      <c r="H25" s="2" t="s">
        <v>29</v>
      </c>
      <c r="I25" s="6" t="s">
        <v>106</v>
      </c>
      <c r="J25" s="6"/>
      <c r="K25" s="6" t="s">
        <v>30</v>
      </c>
      <c r="L25" s="6" t="s">
        <v>49</v>
      </c>
      <c r="M25" s="2" t="s">
        <v>49</v>
      </c>
      <c r="N25" s="2" t="s">
        <v>34</v>
      </c>
      <c r="O25" s="2" t="s">
        <v>35</v>
      </c>
      <c r="P25" s="2" t="s">
        <v>64</v>
      </c>
      <c r="Q25" s="7" t="s">
        <v>37</v>
      </c>
      <c r="S25" s="2" t="s">
        <v>77</v>
      </c>
      <c r="T25" s="27">
        <v>1</v>
      </c>
      <c r="U25" s="2" t="s">
        <v>66</v>
      </c>
    </row>
    <row r="26" spans="1:21" ht="72" x14ac:dyDescent="0.3">
      <c r="A26" s="13" t="s">
        <v>114</v>
      </c>
      <c r="B26" s="2" t="s">
        <v>23</v>
      </c>
      <c r="C26" s="2" t="s">
        <v>126</v>
      </c>
      <c r="D26" s="2" t="s">
        <v>127</v>
      </c>
      <c r="E26" s="2" t="s">
        <v>134</v>
      </c>
      <c r="F26" s="2" t="s">
        <v>136</v>
      </c>
      <c r="G26" s="2" t="s">
        <v>119</v>
      </c>
      <c r="H26" s="2" t="s">
        <v>29</v>
      </c>
      <c r="I26" s="6"/>
      <c r="J26" s="6" t="s">
        <v>31</v>
      </c>
      <c r="K26" s="6"/>
      <c r="L26" s="6" t="s">
        <v>137</v>
      </c>
      <c r="M26" s="2" t="s">
        <v>49</v>
      </c>
      <c r="N26" s="2" t="s">
        <v>34</v>
      </c>
      <c r="O26" s="2" t="s">
        <v>35</v>
      </c>
      <c r="P26" s="2" t="s">
        <v>64</v>
      </c>
      <c r="Q26" s="7" t="s">
        <v>37</v>
      </c>
      <c r="S26" s="2" t="s">
        <v>77</v>
      </c>
      <c r="T26" s="27">
        <v>1</v>
      </c>
      <c r="U26" s="2" t="s">
        <v>66</v>
      </c>
    </row>
    <row r="27" spans="1:21" ht="43.2" x14ac:dyDescent="0.3">
      <c r="A27" s="13" t="s">
        <v>114</v>
      </c>
      <c r="B27" s="2" t="s">
        <v>23</v>
      </c>
      <c r="C27" s="2" t="s">
        <v>126</v>
      </c>
      <c r="D27" s="2" t="s">
        <v>127</v>
      </c>
      <c r="E27" s="2" t="s">
        <v>138</v>
      </c>
      <c r="F27" s="2" t="s">
        <v>139</v>
      </c>
      <c r="G27" s="2" t="s">
        <v>119</v>
      </c>
      <c r="H27" s="2" t="s">
        <v>140</v>
      </c>
      <c r="I27" s="6" t="s">
        <v>106</v>
      </c>
      <c r="J27" s="6"/>
      <c r="K27" s="6" t="s">
        <v>30</v>
      </c>
      <c r="L27" s="6" t="s">
        <v>49</v>
      </c>
      <c r="M27" s="2" t="s">
        <v>49</v>
      </c>
      <c r="N27" s="2" t="s">
        <v>34</v>
      </c>
      <c r="O27" s="2" t="s">
        <v>35</v>
      </c>
      <c r="P27" s="2" t="s">
        <v>64</v>
      </c>
      <c r="Q27" s="7" t="s">
        <v>37</v>
      </c>
      <c r="S27" s="2" t="s">
        <v>141</v>
      </c>
      <c r="T27" s="27">
        <v>1</v>
      </c>
      <c r="U27" s="2" t="s">
        <v>66</v>
      </c>
    </row>
    <row r="28" spans="1:21" ht="100.8" x14ac:dyDescent="0.3">
      <c r="A28" s="13" t="s">
        <v>114</v>
      </c>
      <c r="B28" s="2" t="s">
        <v>23</v>
      </c>
      <c r="C28" s="2" t="s">
        <v>126</v>
      </c>
      <c r="D28" s="2" t="s">
        <v>127</v>
      </c>
      <c r="E28" s="2" t="s">
        <v>138</v>
      </c>
      <c r="F28" s="2" t="s">
        <v>142</v>
      </c>
      <c r="G28" s="2" t="s">
        <v>119</v>
      </c>
      <c r="H28" s="2" t="s">
        <v>140</v>
      </c>
      <c r="I28" s="6"/>
      <c r="J28" s="6" t="s">
        <v>31</v>
      </c>
      <c r="K28" s="6"/>
      <c r="L28" s="6" t="s">
        <v>133</v>
      </c>
      <c r="M28" s="2" t="s">
        <v>49</v>
      </c>
      <c r="N28" s="2" t="s">
        <v>34</v>
      </c>
      <c r="O28" s="2" t="s">
        <v>35</v>
      </c>
      <c r="P28" s="2" t="s">
        <v>64</v>
      </c>
      <c r="Q28" s="7" t="s">
        <v>37</v>
      </c>
      <c r="S28" s="2" t="s">
        <v>141</v>
      </c>
      <c r="T28" s="27">
        <v>1</v>
      </c>
      <c r="U28" s="2" t="s">
        <v>66</v>
      </c>
    </row>
    <row r="29" spans="1:21" ht="57.6" x14ac:dyDescent="0.3">
      <c r="A29" s="13" t="s">
        <v>114</v>
      </c>
      <c r="B29" s="2" t="s">
        <v>23</v>
      </c>
      <c r="C29" s="2" t="s">
        <v>115</v>
      </c>
      <c r="D29" s="2" t="s">
        <v>116</v>
      </c>
      <c r="E29" s="2" t="s">
        <v>143</v>
      </c>
      <c r="F29" s="2" t="s">
        <v>144</v>
      </c>
      <c r="G29" s="2" t="s">
        <v>119</v>
      </c>
      <c r="H29" s="2" t="s">
        <v>29</v>
      </c>
      <c r="I29" s="6" t="s">
        <v>106</v>
      </c>
      <c r="J29" s="6"/>
      <c r="K29" s="6" t="s">
        <v>30</v>
      </c>
      <c r="L29" s="6" t="s">
        <v>49</v>
      </c>
      <c r="M29" s="2" t="s">
        <v>49</v>
      </c>
      <c r="N29" s="2" t="s">
        <v>34</v>
      </c>
      <c r="O29" s="2" t="s">
        <v>56</v>
      </c>
      <c r="P29" s="2" t="s">
        <v>145</v>
      </c>
      <c r="Q29" s="7" t="s">
        <v>37</v>
      </c>
      <c r="S29" s="2" t="s">
        <v>146</v>
      </c>
      <c r="T29" s="2" t="s">
        <v>147</v>
      </c>
      <c r="U29" s="2" t="s">
        <v>66</v>
      </c>
    </row>
    <row r="30" spans="1:21" ht="43.2" x14ac:dyDescent="0.3">
      <c r="A30" s="13" t="s">
        <v>114</v>
      </c>
      <c r="B30" s="2" t="s">
        <v>23</v>
      </c>
      <c r="C30" s="2" t="s">
        <v>115</v>
      </c>
      <c r="D30" s="2" t="s">
        <v>116</v>
      </c>
      <c r="E30" s="2" t="s">
        <v>148</v>
      </c>
      <c r="F30" s="2" t="s">
        <v>149</v>
      </c>
      <c r="G30" s="2" t="s">
        <v>150</v>
      </c>
      <c r="H30" s="2" t="s">
        <v>29</v>
      </c>
      <c r="I30" s="6" t="s">
        <v>106</v>
      </c>
      <c r="J30" s="6"/>
      <c r="K30" s="6" t="s">
        <v>30</v>
      </c>
      <c r="L30" s="6" t="s">
        <v>49</v>
      </c>
      <c r="M30" s="2" t="s">
        <v>49</v>
      </c>
      <c r="N30" s="2" t="s">
        <v>34</v>
      </c>
      <c r="O30" s="2" t="s">
        <v>35</v>
      </c>
      <c r="P30" s="2" t="s">
        <v>145</v>
      </c>
      <c r="Q30" s="7" t="s">
        <v>37</v>
      </c>
      <c r="S30" s="2" t="s">
        <v>151</v>
      </c>
      <c r="T30" s="27">
        <v>1</v>
      </c>
      <c r="U30" s="2" t="s">
        <v>66</v>
      </c>
    </row>
    <row r="31" spans="1:21" ht="43.2" x14ac:dyDescent="0.3">
      <c r="A31" s="13" t="s">
        <v>114</v>
      </c>
      <c r="B31" s="2" t="s">
        <v>23</v>
      </c>
      <c r="C31" s="2" t="s">
        <v>115</v>
      </c>
      <c r="D31" s="2" t="s">
        <v>116</v>
      </c>
      <c r="E31" s="2" t="s">
        <v>152</v>
      </c>
      <c r="F31" s="2" t="s">
        <v>149</v>
      </c>
      <c r="G31" s="2" t="s">
        <v>150</v>
      </c>
      <c r="H31" s="2" t="s">
        <v>29</v>
      </c>
      <c r="I31" s="6" t="s">
        <v>106</v>
      </c>
      <c r="J31" s="6"/>
      <c r="K31" s="6" t="s">
        <v>30</v>
      </c>
      <c r="L31" s="6" t="s">
        <v>49</v>
      </c>
      <c r="M31" s="2" t="s">
        <v>49</v>
      </c>
      <c r="N31" s="2" t="s">
        <v>34</v>
      </c>
      <c r="O31" s="2" t="s">
        <v>35</v>
      </c>
      <c r="P31" s="2" t="s">
        <v>145</v>
      </c>
      <c r="Q31" s="7" t="s">
        <v>37</v>
      </c>
      <c r="S31" s="2" t="s">
        <v>151</v>
      </c>
      <c r="T31" s="27">
        <v>1</v>
      </c>
      <c r="U31" s="2" t="s">
        <v>66</v>
      </c>
    </row>
    <row r="32" spans="1:21" ht="43.2" x14ac:dyDescent="0.3">
      <c r="A32" s="13" t="s">
        <v>114</v>
      </c>
      <c r="B32" s="2" t="s">
        <v>23</v>
      </c>
      <c r="C32" s="2" t="s">
        <v>115</v>
      </c>
      <c r="D32" s="2" t="s">
        <v>116</v>
      </c>
      <c r="E32" s="2" t="s">
        <v>153</v>
      </c>
      <c r="F32" s="2" t="s">
        <v>149</v>
      </c>
      <c r="G32" s="2" t="s">
        <v>150</v>
      </c>
      <c r="H32" s="2" t="s">
        <v>29</v>
      </c>
      <c r="I32" s="6" t="s">
        <v>106</v>
      </c>
      <c r="J32" s="6"/>
      <c r="K32" s="6" t="s">
        <v>30</v>
      </c>
      <c r="L32" s="6" t="s">
        <v>49</v>
      </c>
      <c r="M32" s="2" t="s">
        <v>49</v>
      </c>
      <c r="N32" s="2" t="s">
        <v>34</v>
      </c>
      <c r="O32" s="2" t="s">
        <v>35</v>
      </c>
      <c r="P32" s="2" t="s">
        <v>145</v>
      </c>
      <c r="Q32" s="7" t="s">
        <v>37</v>
      </c>
      <c r="S32" s="2" t="s">
        <v>151</v>
      </c>
      <c r="T32" s="27">
        <v>1</v>
      </c>
      <c r="U32" s="2" t="s">
        <v>66</v>
      </c>
    </row>
    <row r="33" spans="1:21" ht="43.2" x14ac:dyDescent="0.3">
      <c r="A33" s="13" t="s">
        <v>114</v>
      </c>
      <c r="B33" s="2" t="s">
        <v>23</v>
      </c>
      <c r="C33" s="2" t="s">
        <v>115</v>
      </c>
      <c r="D33" s="2" t="s">
        <v>116</v>
      </c>
      <c r="E33" s="2" t="s">
        <v>154</v>
      </c>
      <c r="F33" s="2" t="s">
        <v>149</v>
      </c>
      <c r="G33" s="2" t="s">
        <v>150</v>
      </c>
      <c r="H33" s="2" t="s">
        <v>29</v>
      </c>
      <c r="I33" s="6" t="s">
        <v>106</v>
      </c>
      <c r="J33" s="6"/>
      <c r="K33" s="6" t="s">
        <v>30</v>
      </c>
      <c r="L33" s="6" t="s">
        <v>49</v>
      </c>
      <c r="M33" s="2" t="s">
        <v>49</v>
      </c>
      <c r="N33" s="2" t="s">
        <v>34</v>
      </c>
      <c r="O33" s="2" t="s">
        <v>35</v>
      </c>
      <c r="P33" s="2" t="s">
        <v>145</v>
      </c>
      <c r="Q33" s="7" t="s">
        <v>37</v>
      </c>
      <c r="S33" s="2" t="s">
        <v>151</v>
      </c>
      <c r="T33" s="27">
        <v>1</v>
      </c>
      <c r="U33" s="2" t="s">
        <v>66</v>
      </c>
    </row>
    <row r="34" spans="1:21" ht="43.2" x14ac:dyDescent="0.3">
      <c r="A34" s="13" t="s">
        <v>114</v>
      </c>
      <c r="B34" s="2" t="s">
        <v>23</v>
      </c>
      <c r="C34" s="2" t="s">
        <v>115</v>
      </c>
      <c r="D34" s="2" t="s">
        <v>116</v>
      </c>
      <c r="E34" s="2" t="s">
        <v>155</v>
      </c>
      <c r="F34" s="2" t="s">
        <v>149</v>
      </c>
      <c r="G34" s="2" t="s">
        <v>150</v>
      </c>
      <c r="H34" s="2" t="s">
        <v>29</v>
      </c>
      <c r="I34" s="6" t="s">
        <v>106</v>
      </c>
      <c r="J34" s="6"/>
      <c r="K34" s="6" t="s">
        <v>30</v>
      </c>
      <c r="L34" s="6" t="s">
        <v>49</v>
      </c>
      <c r="M34" s="2" t="s">
        <v>49</v>
      </c>
      <c r="N34" s="2" t="s">
        <v>34</v>
      </c>
      <c r="O34" s="2" t="s">
        <v>56</v>
      </c>
      <c r="P34" s="2" t="s">
        <v>145</v>
      </c>
      <c r="Q34" s="7" t="s">
        <v>37</v>
      </c>
      <c r="S34" s="2" t="s">
        <v>146</v>
      </c>
      <c r="T34" s="29">
        <v>0</v>
      </c>
      <c r="U34" s="2" t="s">
        <v>66</v>
      </c>
    </row>
    <row r="35" spans="1:21" ht="86.4" hidden="1" x14ac:dyDescent="0.3">
      <c r="A35" s="13" t="s">
        <v>114</v>
      </c>
      <c r="B35" s="2" t="s">
        <v>156</v>
      </c>
      <c r="C35" s="2" t="s">
        <v>126</v>
      </c>
      <c r="D35" s="2" t="s">
        <v>157</v>
      </c>
      <c r="E35" s="2" t="s">
        <v>158</v>
      </c>
      <c r="F35" s="2" t="s">
        <v>159</v>
      </c>
      <c r="G35" s="2" t="s">
        <v>46</v>
      </c>
      <c r="H35" s="2" t="s">
        <v>160</v>
      </c>
      <c r="I35" s="6" t="s">
        <v>30</v>
      </c>
      <c r="J35" s="6"/>
      <c r="K35" s="6" t="s">
        <v>30</v>
      </c>
      <c r="L35" s="6"/>
      <c r="M35" s="2" t="s">
        <v>49</v>
      </c>
      <c r="N35" s="2" t="s">
        <v>34</v>
      </c>
      <c r="O35" s="2" t="s">
        <v>113</v>
      </c>
      <c r="P35" s="2" t="s">
        <v>161</v>
      </c>
      <c r="Q35" s="7" t="s">
        <v>58</v>
      </c>
      <c r="S35" s="2" t="s">
        <v>162</v>
      </c>
      <c r="T35" s="1" t="s">
        <v>60</v>
      </c>
    </row>
    <row r="36" spans="1:21" ht="86.4" hidden="1" x14ac:dyDescent="0.3">
      <c r="A36" s="13" t="s">
        <v>114</v>
      </c>
      <c r="B36" s="2" t="s">
        <v>156</v>
      </c>
      <c r="C36" s="2" t="s">
        <v>126</v>
      </c>
      <c r="D36" s="2" t="s">
        <v>157</v>
      </c>
      <c r="E36" s="2" t="s">
        <v>158</v>
      </c>
      <c r="F36" s="2" t="s">
        <v>163</v>
      </c>
      <c r="G36" s="2" t="s">
        <v>46</v>
      </c>
      <c r="H36" s="2" t="s">
        <v>160</v>
      </c>
      <c r="I36" s="6"/>
      <c r="J36" s="6" t="s">
        <v>31</v>
      </c>
      <c r="K36" s="6"/>
      <c r="L36" s="6"/>
      <c r="M36" s="2" t="s">
        <v>49</v>
      </c>
      <c r="N36" s="2" t="s">
        <v>34</v>
      </c>
      <c r="O36" s="2" t="s">
        <v>113</v>
      </c>
      <c r="P36" s="2" t="s">
        <v>161</v>
      </c>
      <c r="Q36" s="7" t="s">
        <v>58</v>
      </c>
      <c r="S36" s="2" t="s">
        <v>162</v>
      </c>
      <c r="T36" s="1" t="s">
        <v>60</v>
      </c>
    </row>
    <row r="37" spans="1:21" ht="43.2" x14ac:dyDescent="0.3">
      <c r="A37" s="13" t="s">
        <v>114</v>
      </c>
      <c r="B37" s="2" t="s">
        <v>156</v>
      </c>
      <c r="C37" s="2" t="s">
        <v>126</v>
      </c>
      <c r="D37" s="2" t="s">
        <v>157</v>
      </c>
      <c r="E37" s="2" t="s">
        <v>164</v>
      </c>
      <c r="F37" s="2" t="s">
        <v>165</v>
      </c>
      <c r="G37" s="2" t="s">
        <v>119</v>
      </c>
      <c r="H37" s="2" t="s">
        <v>29</v>
      </c>
      <c r="I37" s="6" t="s">
        <v>106</v>
      </c>
      <c r="J37" s="6"/>
      <c r="K37" s="6" t="s">
        <v>30</v>
      </c>
      <c r="L37" s="6" t="s">
        <v>49</v>
      </c>
      <c r="M37" s="2" t="s">
        <v>49</v>
      </c>
      <c r="N37" s="2" t="s">
        <v>34</v>
      </c>
      <c r="O37" s="2" t="s">
        <v>56</v>
      </c>
      <c r="P37" s="2" t="s">
        <v>145</v>
      </c>
      <c r="Q37" s="7" t="s">
        <v>37</v>
      </c>
      <c r="S37" s="2" t="s">
        <v>166</v>
      </c>
      <c r="T37" s="27">
        <v>1</v>
      </c>
      <c r="U37" s="2" t="s">
        <v>66</v>
      </c>
    </row>
    <row r="38" spans="1:21" ht="86.4" hidden="1" x14ac:dyDescent="0.3">
      <c r="A38" s="13" t="s">
        <v>114</v>
      </c>
      <c r="B38" s="2" t="s">
        <v>156</v>
      </c>
      <c r="C38" s="2" t="s">
        <v>126</v>
      </c>
      <c r="D38" s="2" t="s">
        <v>157</v>
      </c>
      <c r="E38" s="2" t="s">
        <v>164</v>
      </c>
      <c r="F38" s="2" t="s">
        <v>167</v>
      </c>
      <c r="G38" s="2" t="s">
        <v>46</v>
      </c>
      <c r="H38" s="2" t="s">
        <v>160</v>
      </c>
      <c r="I38" s="6"/>
      <c r="J38" s="6" t="s">
        <v>31</v>
      </c>
      <c r="K38" s="6"/>
      <c r="L38" s="6"/>
      <c r="M38" s="2" t="s">
        <v>49</v>
      </c>
      <c r="N38" s="2" t="s">
        <v>34</v>
      </c>
      <c r="O38" s="2" t="s">
        <v>113</v>
      </c>
      <c r="P38" s="2" t="s">
        <v>161</v>
      </c>
      <c r="Q38" s="7" t="s">
        <v>58</v>
      </c>
      <c r="S38" s="2" t="s">
        <v>168</v>
      </c>
      <c r="T38" s="1" t="s">
        <v>60</v>
      </c>
    </row>
    <row r="39" spans="1:21" ht="43.2" x14ac:dyDescent="0.3">
      <c r="A39" s="13" t="s">
        <v>114</v>
      </c>
      <c r="B39" s="2" t="s">
        <v>156</v>
      </c>
      <c r="C39" s="2" t="s">
        <v>126</v>
      </c>
      <c r="D39" s="2" t="s">
        <v>157</v>
      </c>
      <c r="E39" s="2" t="s">
        <v>169</v>
      </c>
      <c r="F39" s="2" t="s">
        <v>170</v>
      </c>
      <c r="G39" s="2" t="s">
        <v>150</v>
      </c>
      <c r="H39" s="2" t="s">
        <v>29</v>
      </c>
      <c r="I39" s="6" t="s">
        <v>106</v>
      </c>
      <c r="J39" s="6"/>
      <c r="K39" s="6" t="s">
        <v>30</v>
      </c>
      <c r="L39" s="6" t="s">
        <v>49</v>
      </c>
      <c r="M39" s="2" t="s">
        <v>49</v>
      </c>
      <c r="N39" s="2" t="s">
        <v>34</v>
      </c>
      <c r="O39" s="2" t="s">
        <v>35</v>
      </c>
      <c r="P39" s="2" t="s">
        <v>64</v>
      </c>
      <c r="Q39" s="7" t="s">
        <v>37</v>
      </c>
      <c r="S39" s="2" t="s">
        <v>171</v>
      </c>
      <c r="T39" s="27">
        <v>1</v>
      </c>
      <c r="U39" s="2" t="s">
        <v>66</v>
      </c>
    </row>
    <row r="40" spans="1:21" ht="43.2" x14ac:dyDescent="0.3">
      <c r="A40" s="14" t="s">
        <v>172</v>
      </c>
      <c r="B40" s="2" t="s">
        <v>23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28</v>
      </c>
      <c r="H40" s="2" t="s">
        <v>29</v>
      </c>
      <c r="I40" s="5" t="s">
        <v>106</v>
      </c>
      <c r="J40" s="5"/>
      <c r="K40" s="5" t="s">
        <v>30</v>
      </c>
      <c r="L40" s="5" t="s">
        <v>49</v>
      </c>
      <c r="M40" s="2" t="s">
        <v>49</v>
      </c>
      <c r="N40" s="2" t="s">
        <v>102</v>
      </c>
      <c r="O40" s="2" t="s">
        <v>35</v>
      </c>
      <c r="P40" s="2" t="s">
        <v>64</v>
      </c>
      <c r="Q40" s="7" t="s">
        <v>37</v>
      </c>
      <c r="S40" s="2" t="s">
        <v>177</v>
      </c>
      <c r="T40" s="25">
        <v>1</v>
      </c>
      <c r="U40" s="2" t="s">
        <v>66</v>
      </c>
    </row>
    <row r="41" spans="1:21" ht="43.2" x14ac:dyDescent="0.3">
      <c r="A41" s="14" t="s">
        <v>172</v>
      </c>
      <c r="B41" s="2" t="s">
        <v>23</v>
      </c>
      <c r="C41" s="2" t="s">
        <v>173</v>
      </c>
      <c r="D41" s="2" t="s">
        <v>174</v>
      </c>
      <c r="E41" s="2" t="s">
        <v>175</v>
      </c>
      <c r="F41" s="2" t="s">
        <v>179</v>
      </c>
      <c r="G41" s="2" t="s">
        <v>42</v>
      </c>
      <c r="H41" s="2" t="s">
        <v>29</v>
      </c>
      <c r="I41" s="5" t="s">
        <v>106</v>
      </c>
      <c r="J41" s="5"/>
      <c r="K41" s="5" t="s">
        <v>30</v>
      </c>
      <c r="L41" s="5" t="s">
        <v>49</v>
      </c>
      <c r="M41" s="2" t="s">
        <v>49</v>
      </c>
      <c r="N41" s="2" t="s">
        <v>102</v>
      </c>
      <c r="O41" s="2" t="s">
        <v>35</v>
      </c>
      <c r="P41" s="2" t="s">
        <v>64</v>
      </c>
      <c r="Q41" s="7" t="s">
        <v>37</v>
      </c>
      <c r="S41" s="2" t="s">
        <v>177</v>
      </c>
      <c r="T41" s="25">
        <v>1</v>
      </c>
      <c r="U41" s="2" t="s">
        <v>66</v>
      </c>
    </row>
    <row r="42" spans="1:21" ht="43.2" x14ac:dyDescent="0.3">
      <c r="A42" s="14" t="s">
        <v>172</v>
      </c>
      <c r="B42" s="2" t="s">
        <v>23</v>
      </c>
      <c r="C42" s="2" t="s">
        <v>173</v>
      </c>
      <c r="D42" s="2" t="s">
        <v>174</v>
      </c>
      <c r="E42" s="2" t="s">
        <v>180</v>
      </c>
      <c r="F42" s="2" t="s">
        <v>181</v>
      </c>
      <c r="G42" s="2" t="s">
        <v>182</v>
      </c>
      <c r="H42" s="2" t="s">
        <v>29</v>
      </c>
      <c r="I42" s="5" t="s">
        <v>106</v>
      </c>
      <c r="J42" s="5"/>
      <c r="K42" s="5" t="s">
        <v>30</v>
      </c>
      <c r="L42" s="5" t="s">
        <v>49</v>
      </c>
      <c r="M42" s="2" t="s">
        <v>49</v>
      </c>
      <c r="N42" s="2" t="s">
        <v>102</v>
      </c>
      <c r="O42" s="2" t="s">
        <v>35</v>
      </c>
      <c r="P42" s="2" t="s">
        <v>64</v>
      </c>
      <c r="Q42" s="7" t="s">
        <v>37</v>
      </c>
      <c r="S42" s="2" t="s">
        <v>77</v>
      </c>
      <c r="T42" s="25">
        <v>1</v>
      </c>
      <c r="U42" s="2" t="s">
        <v>66</v>
      </c>
    </row>
    <row r="43" spans="1:21" ht="43.2" x14ac:dyDescent="0.3">
      <c r="A43" s="14" t="s">
        <v>172</v>
      </c>
      <c r="B43" s="2" t="s">
        <v>23</v>
      </c>
      <c r="C43" s="2" t="s">
        <v>183</v>
      </c>
      <c r="D43" s="2" t="s">
        <v>174</v>
      </c>
      <c r="E43" s="2" t="s">
        <v>184</v>
      </c>
      <c r="F43" s="2" t="s">
        <v>185</v>
      </c>
      <c r="G43" s="2" t="s">
        <v>186</v>
      </c>
      <c r="H43" s="2" t="s">
        <v>29</v>
      </c>
      <c r="I43" s="6" t="s">
        <v>187</v>
      </c>
      <c r="J43" s="6"/>
      <c r="K43" s="6" t="s">
        <v>30</v>
      </c>
      <c r="L43" s="6" t="s">
        <v>49</v>
      </c>
      <c r="M43" s="2" t="s">
        <v>188</v>
      </c>
      <c r="N43" s="2" t="s">
        <v>102</v>
      </c>
      <c r="O43" s="2" t="s">
        <v>56</v>
      </c>
      <c r="P43" s="2" t="s">
        <v>64</v>
      </c>
      <c r="Q43" s="7" t="s">
        <v>37</v>
      </c>
      <c r="S43" s="2" t="s">
        <v>189</v>
      </c>
      <c r="T43" s="25">
        <v>0</v>
      </c>
      <c r="U43" s="2" t="s">
        <v>66</v>
      </c>
    </row>
    <row r="44" spans="1:21" ht="57.6" x14ac:dyDescent="0.3">
      <c r="A44" s="14" t="s">
        <v>172</v>
      </c>
      <c r="B44" s="2" t="s">
        <v>23</v>
      </c>
      <c r="C44" s="2" t="s">
        <v>183</v>
      </c>
      <c r="D44" s="2" t="s">
        <v>174</v>
      </c>
      <c r="E44" s="2" t="s">
        <v>184</v>
      </c>
      <c r="F44" s="2" t="s">
        <v>190</v>
      </c>
      <c r="G44" s="2" t="s">
        <v>186</v>
      </c>
      <c r="H44" s="2" t="s">
        <v>29</v>
      </c>
      <c r="I44" s="6"/>
      <c r="J44" s="6"/>
      <c r="K44" s="6" t="s">
        <v>191</v>
      </c>
      <c r="L44" s="6" t="s">
        <v>49</v>
      </c>
      <c r="M44" s="2" t="s">
        <v>188</v>
      </c>
      <c r="N44" s="2" t="s">
        <v>102</v>
      </c>
      <c r="O44" s="2" t="s">
        <v>56</v>
      </c>
      <c r="P44" s="2" t="s">
        <v>64</v>
      </c>
      <c r="Q44" s="7" t="s">
        <v>37</v>
      </c>
      <c r="S44" s="2" t="s">
        <v>189</v>
      </c>
      <c r="T44" s="25">
        <v>0</v>
      </c>
      <c r="U44" s="2" t="s">
        <v>66</v>
      </c>
    </row>
    <row r="45" spans="1:21" ht="43.2" x14ac:dyDescent="0.3">
      <c r="A45" s="14" t="s">
        <v>172</v>
      </c>
      <c r="B45" s="2" t="s">
        <v>23</v>
      </c>
      <c r="C45" s="2" t="s">
        <v>173</v>
      </c>
      <c r="D45" s="2" t="s">
        <v>174</v>
      </c>
      <c r="E45" s="2" t="s">
        <v>192</v>
      </c>
      <c r="F45" s="2" t="s">
        <v>193</v>
      </c>
      <c r="G45" s="2" t="s">
        <v>186</v>
      </c>
      <c r="H45" s="2" t="s">
        <v>29</v>
      </c>
      <c r="I45" s="6" t="s">
        <v>187</v>
      </c>
      <c r="J45" s="6"/>
      <c r="K45" s="6" t="s">
        <v>30</v>
      </c>
      <c r="L45" s="6" t="s">
        <v>49</v>
      </c>
      <c r="M45" s="2" t="s">
        <v>188</v>
      </c>
      <c r="N45" s="2" t="s">
        <v>102</v>
      </c>
      <c r="O45" s="2" t="s">
        <v>56</v>
      </c>
      <c r="P45" s="2" t="s">
        <v>64</v>
      </c>
      <c r="Q45" s="7" t="s">
        <v>37</v>
      </c>
      <c r="S45" s="2" t="s">
        <v>189</v>
      </c>
      <c r="T45" s="25">
        <v>0</v>
      </c>
      <c r="U45" s="2" t="s">
        <v>66</v>
      </c>
    </row>
    <row r="46" spans="1:21" ht="43.2" x14ac:dyDescent="0.3">
      <c r="A46" s="14" t="s">
        <v>172</v>
      </c>
      <c r="B46" s="2" t="s">
        <v>23</v>
      </c>
      <c r="C46" s="2" t="s">
        <v>173</v>
      </c>
      <c r="D46" s="2" t="s">
        <v>174</v>
      </c>
      <c r="E46" s="2" t="s">
        <v>192</v>
      </c>
      <c r="F46" s="2" t="s">
        <v>194</v>
      </c>
      <c r="G46" s="2" t="s">
        <v>186</v>
      </c>
      <c r="H46" s="2" t="s">
        <v>29</v>
      </c>
      <c r="I46" s="6"/>
      <c r="J46" s="6" t="s">
        <v>195</v>
      </c>
      <c r="K46" s="6"/>
      <c r="L46" s="6" t="s">
        <v>49</v>
      </c>
      <c r="M46" s="2" t="s">
        <v>188</v>
      </c>
      <c r="N46" s="2" t="s">
        <v>102</v>
      </c>
      <c r="O46" s="2" t="s">
        <v>56</v>
      </c>
      <c r="P46" s="2" t="s">
        <v>64</v>
      </c>
      <c r="Q46" s="7" t="s">
        <v>37</v>
      </c>
      <c r="S46" s="2" t="s">
        <v>189</v>
      </c>
      <c r="T46" s="25">
        <v>0</v>
      </c>
      <c r="U46" s="2" t="s">
        <v>66</v>
      </c>
    </row>
    <row r="47" spans="1:21" ht="43.2" x14ac:dyDescent="0.3">
      <c r="A47" s="14" t="s">
        <v>172</v>
      </c>
      <c r="B47" s="2" t="s">
        <v>23</v>
      </c>
      <c r="C47" s="2" t="s">
        <v>173</v>
      </c>
      <c r="D47" s="2" t="s">
        <v>196</v>
      </c>
      <c r="E47" s="2" t="s">
        <v>197</v>
      </c>
      <c r="F47" s="2" t="s">
        <v>198</v>
      </c>
      <c r="G47" s="2" t="s">
        <v>199</v>
      </c>
      <c r="H47" s="2" t="s">
        <v>29</v>
      </c>
      <c r="I47" s="6" t="s">
        <v>187</v>
      </c>
      <c r="J47" s="6" t="s">
        <v>195</v>
      </c>
      <c r="K47" s="6"/>
      <c r="L47" s="6" t="s">
        <v>49</v>
      </c>
      <c r="M47" s="2" t="s">
        <v>188</v>
      </c>
      <c r="N47" s="2" t="s">
        <v>102</v>
      </c>
      <c r="O47" s="2" t="s">
        <v>56</v>
      </c>
      <c r="P47" s="2" t="s">
        <v>64</v>
      </c>
      <c r="Q47" s="7" t="s">
        <v>37</v>
      </c>
      <c r="S47" s="2" t="s">
        <v>200</v>
      </c>
      <c r="T47" s="25">
        <v>0</v>
      </c>
      <c r="U47" s="2" t="s">
        <v>66</v>
      </c>
    </row>
    <row r="48" spans="1:21" ht="100.8" x14ac:dyDescent="0.3">
      <c r="A48" s="14" t="s">
        <v>172</v>
      </c>
      <c r="B48" s="2" t="s">
        <v>23</v>
      </c>
      <c r="C48" s="2" t="s">
        <v>173</v>
      </c>
      <c r="D48" s="2" t="s">
        <v>201</v>
      </c>
      <c r="E48" s="2" t="s">
        <v>202</v>
      </c>
      <c r="F48" s="2" t="s">
        <v>203</v>
      </c>
      <c r="G48" s="2" t="s">
        <v>46</v>
      </c>
      <c r="H48" s="2" t="s">
        <v>29</v>
      </c>
      <c r="I48" s="6" t="s">
        <v>106</v>
      </c>
      <c r="J48" s="6" t="s">
        <v>31</v>
      </c>
      <c r="K48" s="6"/>
      <c r="L48" s="6" t="s">
        <v>204</v>
      </c>
      <c r="M48" s="2" t="s">
        <v>205</v>
      </c>
      <c r="N48" s="2" t="s">
        <v>34</v>
      </c>
      <c r="O48" s="2" t="s">
        <v>56</v>
      </c>
      <c r="P48" s="2" t="s">
        <v>36</v>
      </c>
      <c r="Q48" s="7" t="s">
        <v>37</v>
      </c>
      <c r="S48" s="2" t="s">
        <v>206</v>
      </c>
      <c r="T48" s="25">
        <v>1</v>
      </c>
      <c r="U48" s="2" t="s">
        <v>66</v>
      </c>
    </row>
    <row r="49" spans="1:21" ht="86.4" x14ac:dyDescent="0.3">
      <c r="A49" s="14" t="s">
        <v>172</v>
      </c>
      <c r="B49" s="2" t="s">
        <v>23</v>
      </c>
      <c r="C49" s="2" t="s">
        <v>173</v>
      </c>
      <c r="D49" s="2" t="s">
        <v>201</v>
      </c>
      <c r="E49" s="2" t="s">
        <v>207</v>
      </c>
      <c r="F49" s="2" t="s">
        <v>208</v>
      </c>
      <c r="G49" s="2" t="s">
        <v>46</v>
      </c>
      <c r="H49" s="2" t="s">
        <v>29</v>
      </c>
      <c r="I49" s="6" t="s">
        <v>106</v>
      </c>
      <c r="J49" s="6" t="s">
        <v>31</v>
      </c>
      <c r="K49" s="6"/>
      <c r="L49" s="6" t="s">
        <v>209</v>
      </c>
      <c r="M49" s="2" t="s">
        <v>205</v>
      </c>
      <c r="N49" s="2" t="s">
        <v>34</v>
      </c>
      <c r="O49" s="2" t="s">
        <v>56</v>
      </c>
      <c r="P49" s="2" t="s">
        <v>36</v>
      </c>
      <c r="Q49" s="7" t="s">
        <v>37</v>
      </c>
      <c r="S49" s="2" t="s">
        <v>206</v>
      </c>
      <c r="T49" s="25">
        <v>1</v>
      </c>
      <c r="U49" s="2" t="s">
        <v>66</v>
      </c>
    </row>
    <row r="50" spans="1:21" ht="86.4" x14ac:dyDescent="0.3">
      <c r="A50" s="14" t="s">
        <v>172</v>
      </c>
      <c r="B50" s="2" t="s">
        <v>23</v>
      </c>
      <c r="C50" s="2" t="s">
        <v>173</v>
      </c>
      <c r="D50" s="2" t="s">
        <v>201</v>
      </c>
      <c r="E50" s="2" t="s">
        <v>210</v>
      </c>
      <c r="F50" s="2" t="s">
        <v>211</v>
      </c>
      <c r="G50" s="2" t="s">
        <v>46</v>
      </c>
      <c r="H50" s="2" t="s">
        <v>29</v>
      </c>
      <c r="I50" s="6" t="s">
        <v>106</v>
      </c>
      <c r="J50" s="6" t="s">
        <v>31</v>
      </c>
      <c r="K50" s="6"/>
      <c r="L50" s="6" t="s">
        <v>212</v>
      </c>
      <c r="M50" s="2" t="s">
        <v>205</v>
      </c>
      <c r="N50" s="2" t="s">
        <v>34</v>
      </c>
      <c r="O50" s="2" t="s">
        <v>56</v>
      </c>
      <c r="P50" s="2" t="s">
        <v>36</v>
      </c>
      <c r="Q50" s="7" t="s">
        <v>37</v>
      </c>
      <c r="S50" s="2" t="s">
        <v>206</v>
      </c>
      <c r="T50" s="25">
        <v>1</v>
      </c>
      <c r="U50" s="2" t="s">
        <v>66</v>
      </c>
    </row>
    <row r="51" spans="1:21" ht="86.4" x14ac:dyDescent="0.3">
      <c r="A51" s="14" t="s">
        <v>172</v>
      </c>
      <c r="B51" s="2" t="s">
        <v>23</v>
      </c>
      <c r="C51" s="2" t="s">
        <v>173</v>
      </c>
      <c r="D51" s="2" t="s">
        <v>201</v>
      </c>
      <c r="E51" s="2" t="s">
        <v>213</v>
      </c>
      <c r="F51" s="2" t="s">
        <v>214</v>
      </c>
      <c r="G51" s="2" t="s">
        <v>46</v>
      </c>
      <c r="H51" s="2" t="s">
        <v>29</v>
      </c>
      <c r="I51" s="6" t="s">
        <v>106</v>
      </c>
      <c r="J51" s="6" t="s">
        <v>31</v>
      </c>
      <c r="K51" s="6"/>
      <c r="L51" s="6" t="s">
        <v>212</v>
      </c>
      <c r="M51" s="2" t="s">
        <v>205</v>
      </c>
      <c r="N51" s="2" t="s">
        <v>34</v>
      </c>
      <c r="O51" s="2" t="s">
        <v>56</v>
      </c>
      <c r="P51" s="2" t="s">
        <v>36</v>
      </c>
      <c r="Q51" s="7" t="s">
        <v>37</v>
      </c>
      <c r="S51" s="2" t="s">
        <v>206</v>
      </c>
      <c r="T51" s="25">
        <v>1</v>
      </c>
      <c r="U51" s="2" t="s">
        <v>66</v>
      </c>
    </row>
    <row r="52" spans="1:21" ht="43.2" hidden="1" x14ac:dyDescent="0.3">
      <c r="A52" s="14" t="s">
        <v>172</v>
      </c>
      <c r="B52" s="2" t="s">
        <v>23</v>
      </c>
      <c r="C52" s="2" t="s">
        <v>173</v>
      </c>
      <c r="D52" s="2" t="s">
        <v>215</v>
      </c>
      <c r="E52" s="2" t="s">
        <v>216</v>
      </c>
      <c r="F52" s="2" t="s">
        <v>217</v>
      </c>
      <c r="G52" s="2" t="s">
        <v>46</v>
      </c>
      <c r="H52" s="2" t="s">
        <v>29</v>
      </c>
      <c r="I52" s="6" t="s">
        <v>30</v>
      </c>
      <c r="J52" s="6"/>
      <c r="K52" s="6" t="s">
        <v>30</v>
      </c>
      <c r="L52" s="6"/>
      <c r="M52" s="15" t="s">
        <v>218</v>
      </c>
      <c r="N52" s="2" t="s">
        <v>102</v>
      </c>
      <c r="O52" s="2" t="s">
        <v>113</v>
      </c>
      <c r="P52" s="2" t="s">
        <v>64</v>
      </c>
      <c r="Q52" s="7" t="s">
        <v>58</v>
      </c>
      <c r="S52" s="2" t="s">
        <v>219</v>
      </c>
      <c r="T52" s="1" t="s">
        <v>60</v>
      </c>
    </row>
    <row r="53" spans="1:21" ht="43.2" x14ac:dyDescent="0.3">
      <c r="A53" s="14" t="s">
        <v>172</v>
      </c>
      <c r="B53" s="2" t="s">
        <v>23</v>
      </c>
      <c r="C53" s="2" t="s">
        <v>220</v>
      </c>
      <c r="D53" s="11" t="s">
        <v>221</v>
      </c>
      <c r="E53" s="12" t="s">
        <v>222</v>
      </c>
      <c r="F53" s="2" t="s">
        <v>223</v>
      </c>
      <c r="G53" s="2" t="s">
        <v>224</v>
      </c>
      <c r="H53" s="2" t="s">
        <v>29</v>
      </c>
      <c r="I53" s="6" t="s">
        <v>106</v>
      </c>
      <c r="J53" s="6" t="s">
        <v>31</v>
      </c>
      <c r="K53" s="6"/>
      <c r="L53" s="6" t="s">
        <v>49</v>
      </c>
      <c r="M53" s="2" t="s">
        <v>49</v>
      </c>
      <c r="N53" s="2" t="s">
        <v>102</v>
      </c>
      <c r="O53" s="2" t="s">
        <v>35</v>
      </c>
      <c r="P53" s="2" t="s">
        <v>145</v>
      </c>
      <c r="Q53" s="7" t="s">
        <v>37</v>
      </c>
      <c r="R53" s="1" t="s">
        <v>225</v>
      </c>
      <c r="S53" s="2" t="s">
        <v>226</v>
      </c>
      <c r="T53" s="25">
        <v>1</v>
      </c>
      <c r="U53" s="2" t="s">
        <v>66</v>
      </c>
    </row>
    <row r="54" spans="1:21" ht="43.2" x14ac:dyDescent="0.3">
      <c r="A54" s="14" t="s">
        <v>172</v>
      </c>
      <c r="B54" s="2" t="s">
        <v>23</v>
      </c>
      <c r="C54" s="2" t="s">
        <v>227</v>
      </c>
      <c r="D54" s="11" t="s">
        <v>221</v>
      </c>
      <c r="E54" s="12" t="s">
        <v>228</v>
      </c>
      <c r="F54" s="11" t="s">
        <v>229</v>
      </c>
      <c r="G54" s="2" t="s">
        <v>224</v>
      </c>
      <c r="H54" s="2" t="s">
        <v>29</v>
      </c>
      <c r="I54" s="6" t="s">
        <v>106</v>
      </c>
      <c r="J54" s="6"/>
      <c r="K54" s="6" t="s">
        <v>30</v>
      </c>
      <c r="L54" s="6" t="s">
        <v>230</v>
      </c>
      <c r="M54" s="2" t="s">
        <v>49</v>
      </c>
      <c r="N54" s="2" t="s">
        <v>34</v>
      </c>
      <c r="O54" s="2" t="s">
        <v>35</v>
      </c>
      <c r="P54" s="2" t="s">
        <v>64</v>
      </c>
      <c r="Q54" s="7" t="s">
        <v>37</v>
      </c>
      <c r="R54" s="1" t="s">
        <v>225</v>
      </c>
      <c r="S54" s="2" t="s">
        <v>231</v>
      </c>
      <c r="T54" s="25">
        <v>1</v>
      </c>
      <c r="U54" s="2" t="s">
        <v>66</v>
      </c>
    </row>
    <row r="55" spans="1:21" ht="57.6" x14ac:dyDescent="0.3">
      <c r="A55" s="14" t="s">
        <v>172</v>
      </c>
      <c r="B55" s="2" t="s">
        <v>23</v>
      </c>
      <c r="C55" s="2" t="s">
        <v>220</v>
      </c>
      <c r="D55" s="11" t="s">
        <v>232</v>
      </c>
      <c r="E55" s="12" t="s">
        <v>233</v>
      </c>
      <c r="F55" s="2" t="s">
        <v>234</v>
      </c>
      <c r="G55" s="2" t="s">
        <v>46</v>
      </c>
      <c r="H55" s="2" t="s">
        <v>29</v>
      </c>
      <c r="I55" s="6"/>
      <c r="J55" s="6" t="s">
        <v>235</v>
      </c>
      <c r="K55" s="6"/>
      <c r="L55" s="6" t="s">
        <v>49</v>
      </c>
      <c r="M55" s="2" t="s">
        <v>49</v>
      </c>
      <c r="N55" s="2" t="s">
        <v>102</v>
      </c>
      <c r="O55" s="2" t="s">
        <v>56</v>
      </c>
      <c r="P55" s="2" t="s">
        <v>145</v>
      </c>
      <c r="Q55" s="7" t="s">
        <v>37</v>
      </c>
      <c r="R55" s="1" t="s">
        <v>225</v>
      </c>
      <c r="S55" s="2" t="s">
        <v>236</v>
      </c>
      <c r="T55" s="25">
        <v>1</v>
      </c>
      <c r="U55" s="2" t="s">
        <v>66</v>
      </c>
    </row>
    <row r="56" spans="1:21" ht="86.4" x14ac:dyDescent="0.3">
      <c r="A56" s="14" t="s">
        <v>172</v>
      </c>
      <c r="B56" s="2" t="s">
        <v>23</v>
      </c>
      <c r="C56" s="2" t="s">
        <v>220</v>
      </c>
      <c r="D56" s="11" t="s">
        <v>232</v>
      </c>
      <c r="E56" s="12" t="s">
        <v>237</v>
      </c>
      <c r="F56" s="2" t="s">
        <v>238</v>
      </c>
      <c r="G56" s="2" t="s">
        <v>239</v>
      </c>
      <c r="H56" s="2" t="s">
        <v>29</v>
      </c>
      <c r="I56" s="6"/>
      <c r="J56" s="6" t="s">
        <v>240</v>
      </c>
      <c r="K56" s="6"/>
      <c r="L56" s="6" t="s">
        <v>49</v>
      </c>
      <c r="M56" s="2" t="s">
        <v>241</v>
      </c>
      <c r="N56" s="2" t="s">
        <v>34</v>
      </c>
      <c r="O56" s="2" t="s">
        <v>35</v>
      </c>
      <c r="P56" s="2" t="s">
        <v>64</v>
      </c>
      <c r="Q56" s="7" t="s">
        <v>37</v>
      </c>
      <c r="S56" s="2" t="s">
        <v>242</v>
      </c>
      <c r="T56" s="25">
        <v>0</v>
      </c>
      <c r="U56" s="2" t="s">
        <v>66</v>
      </c>
    </row>
    <row r="57" spans="1:21" hidden="1" x14ac:dyDescent="0.3">
      <c r="A57" s="14" t="s">
        <v>172</v>
      </c>
      <c r="B57" s="2" t="s">
        <v>23</v>
      </c>
      <c r="C57" s="2" t="s">
        <v>220</v>
      </c>
      <c r="D57" s="11" t="s">
        <v>232</v>
      </c>
      <c r="E57" s="16" t="s">
        <v>243</v>
      </c>
      <c r="F57" s="2" t="s">
        <v>54</v>
      </c>
      <c r="G57" s="2"/>
      <c r="H57" s="2"/>
      <c r="I57" s="6"/>
      <c r="J57" s="6"/>
      <c r="K57" s="6"/>
      <c r="L57" s="6"/>
      <c r="M57" s="2"/>
      <c r="N57" s="2"/>
      <c r="O57" s="2"/>
      <c r="P57" s="2"/>
      <c r="Q57" s="7" t="s">
        <v>58</v>
      </c>
      <c r="S57" s="2" t="s">
        <v>244</v>
      </c>
      <c r="T57" s="1" t="s">
        <v>60</v>
      </c>
    </row>
    <row r="58" spans="1:21" ht="43.2" x14ac:dyDescent="0.3">
      <c r="A58" s="14" t="s">
        <v>172</v>
      </c>
      <c r="B58" s="2" t="s">
        <v>23</v>
      </c>
      <c r="C58" s="2" t="s">
        <v>220</v>
      </c>
      <c r="D58" s="11" t="s">
        <v>245</v>
      </c>
      <c r="E58" s="12" t="s">
        <v>246</v>
      </c>
      <c r="F58" s="2" t="s">
        <v>247</v>
      </c>
      <c r="G58" s="2" t="s">
        <v>46</v>
      </c>
      <c r="H58" s="2" t="s">
        <v>29</v>
      </c>
      <c r="I58" s="6"/>
      <c r="J58" s="6"/>
      <c r="K58" s="6" t="s">
        <v>30</v>
      </c>
      <c r="L58" s="6" t="s">
        <v>49</v>
      </c>
      <c r="M58" s="17" t="s">
        <v>248</v>
      </c>
      <c r="N58" s="2" t="s">
        <v>102</v>
      </c>
      <c r="O58" s="2" t="s">
        <v>56</v>
      </c>
      <c r="P58" s="2" t="s">
        <v>64</v>
      </c>
      <c r="Q58" s="7" t="s">
        <v>37</v>
      </c>
      <c r="R58" s="1" t="s">
        <v>225</v>
      </c>
      <c r="S58" s="2" t="s">
        <v>249</v>
      </c>
      <c r="T58" s="25">
        <v>0</v>
      </c>
      <c r="U58" s="2" t="s">
        <v>66</v>
      </c>
    </row>
    <row r="59" spans="1:21" ht="43.2" x14ac:dyDescent="0.3">
      <c r="A59" s="14" t="s">
        <v>172</v>
      </c>
      <c r="B59" s="2" t="s">
        <v>23</v>
      </c>
      <c r="C59" s="2" t="s">
        <v>220</v>
      </c>
      <c r="D59" s="11" t="s">
        <v>250</v>
      </c>
      <c r="E59" s="12" t="s">
        <v>251</v>
      </c>
      <c r="F59" s="24" t="s">
        <v>252</v>
      </c>
      <c r="G59" s="2" t="s">
        <v>253</v>
      </c>
      <c r="H59" s="2" t="s">
        <v>29</v>
      </c>
      <c r="I59" s="6" t="s">
        <v>187</v>
      </c>
      <c r="J59" s="6"/>
      <c r="K59" s="6" t="s">
        <v>30</v>
      </c>
      <c r="L59" s="6" t="s">
        <v>49</v>
      </c>
      <c r="M59" s="2" t="s">
        <v>49</v>
      </c>
      <c r="N59" s="2" t="s">
        <v>102</v>
      </c>
      <c r="O59" s="2" t="s">
        <v>35</v>
      </c>
      <c r="P59" s="2" t="s">
        <v>64</v>
      </c>
      <c r="Q59" s="7" t="s">
        <v>37</v>
      </c>
      <c r="R59" s="1" t="s">
        <v>225</v>
      </c>
      <c r="S59" s="2" t="s">
        <v>77</v>
      </c>
      <c r="T59" s="25">
        <v>1</v>
      </c>
      <c r="U59" s="2" t="s">
        <v>66</v>
      </c>
    </row>
    <row r="60" spans="1:21" ht="43.2" hidden="1" x14ac:dyDescent="0.3">
      <c r="A60" s="14" t="s">
        <v>172</v>
      </c>
      <c r="B60" s="2" t="s">
        <v>23</v>
      </c>
      <c r="C60" s="2" t="s">
        <v>220</v>
      </c>
      <c r="D60" s="11" t="s">
        <v>254</v>
      </c>
      <c r="E60" s="12" t="s">
        <v>255</v>
      </c>
      <c r="F60" s="2" t="s">
        <v>256</v>
      </c>
      <c r="G60" s="2" t="s">
        <v>28</v>
      </c>
      <c r="H60" s="2" t="s">
        <v>29</v>
      </c>
      <c r="I60" s="6"/>
      <c r="J60" s="6"/>
      <c r="K60" s="6" t="s">
        <v>30</v>
      </c>
      <c r="L60" s="6"/>
      <c r="M60" s="2" t="s">
        <v>49</v>
      </c>
      <c r="N60" s="2" t="s">
        <v>34</v>
      </c>
      <c r="O60" s="2"/>
      <c r="P60" s="2"/>
      <c r="Q60" s="7" t="s">
        <v>58</v>
      </c>
      <c r="S60" s="2" t="s">
        <v>244</v>
      </c>
      <c r="T60" s="1" t="s">
        <v>60</v>
      </c>
    </row>
    <row r="61" spans="1:21" ht="57.6" x14ac:dyDescent="0.3">
      <c r="A61" s="14" t="s">
        <v>172</v>
      </c>
      <c r="B61" s="2" t="s">
        <v>23</v>
      </c>
      <c r="C61" s="2" t="s">
        <v>220</v>
      </c>
      <c r="D61" s="11" t="s">
        <v>254</v>
      </c>
      <c r="E61" s="12" t="s">
        <v>257</v>
      </c>
      <c r="F61" s="2" t="s">
        <v>258</v>
      </c>
      <c r="G61" s="2" t="s">
        <v>28</v>
      </c>
      <c r="H61" s="2" t="s">
        <v>29</v>
      </c>
      <c r="I61" s="6" t="s">
        <v>106</v>
      </c>
      <c r="J61" s="6"/>
      <c r="K61" s="6" t="s">
        <v>30</v>
      </c>
      <c r="L61" s="6" t="s">
        <v>49</v>
      </c>
      <c r="M61" s="2" t="s">
        <v>49</v>
      </c>
      <c r="N61" s="2" t="s">
        <v>34</v>
      </c>
      <c r="O61" s="2" t="s">
        <v>56</v>
      </c>
      <c r="P61" s="2" t="s">
        <v>145</v>
      </c>
      <c r="Q61" s="7" t="s">
        <v>37</v>
      </c>
      <c r="S61" s="2" t="s">
        <v>259</v>
      </c>
      <c r="T61" s="25">
        <v>0</v>
      </c>
      <c r="U61" s="2" t="s">
        <v>66</v>
      </c>
    </row>
    <row r="62" spans="1:21" ht="43.2" hidden="1" x14ac:dyDescent="0.3">
      <c r="A62" s="14" t="s">
        <v>172</v>
      </c>
      <c r="B62" s="2" t="s">
        <v>23</v>
      </c>
      <c r="C62" s="2" t="s">
        <v>220</v>
      </c>
      <c r="D62" s="11" t="s">
        <v>254</v>
      </c>
      <c r="E62" s="12" t="s">
        <v>260</v>
      </c>
      <c r="F62" s="12" t="s">
        <v>260</v>
      </c>
      <c r="G62" s="2" t="s">
        <v>28</v>
      </c>
      <c r="H62" s="2" t="s">
        <v>29</v>
      </c>
      <c r="I62" s="6" t="s">
        <v>30</v>
      </c>
      <c r="J62" s="6"/>
      <c r="K62" s="6" t="s">
        <v>30</v>
      </c>
      <c r="L62" s="6"/>
      <c r="M62" s="2" t="s">
        <v>49</v>
      </c>
      <c r="N62" s="2" t="s">
        <v>34</v>
      </c>
      <c r="O62" s="2"/>
      <c r="P62" s="2"/>
      <c r="Q62" s="7" t="s">
        <v>58</v>
      </c>
      <c r="S62" s="2" t="s">
        <v>244</v>
      </c>
      <c r="T62" s="1" t="s">
        <v>60</v>
      </c>
    </row>
    <row r="63" spans="1:21" ht="86.4" x14ac:dyDescent="0.3">
      <c r="A63" s="14" t="s">
        <v>172</v>
      </c>
      <c r="B63" s="2" t="s">
        <v>23</v>
      </c>
      <c r="C63" s="2" t="s">
        <v>220</v>
      </c>
      <c r="D63" s="2" t="s">
        <v>261</v>
      </c>
      <c r="E63" s="12" t="s">
        <v>262</v>
      </c>
      <c r="F63" s="2" t="s">
        <v>263</v>
      </c>
      <c r="G63" s="2" t="s">
        <v>239</v>
      </c>
      <c r="H63" s="2" t="s">
        <v>29</v>
      </c>
      <c r="I63" s="5"/>
      <c r="J63" s="5" t="s">
        <v>240</v>
      </c>
      <c r="K63" s="5"/>
      <c r="L63" s="5" t="s">
        <v>49</v>
      </c>
      <c r="M63" s="2" t="s">
        <v>49</v>
      </c>
      <c r="N63" s="2" t="s">
        <v>34</v>
      </c>
      <c r="O63" s="2" t="s">
        <v>35</v>
      </c>
      <c r="P63" s="2" t="s">
        <v>64</v>
      </c>
      <c r="Q63" s="7" t="s">
        <v>37</v>
      </c>
      <c r="S63" s="2" t="s">
        <v>242</v>
      </c>
      <c r="T63" s="25">
        <v>0</v>
      </c>
      <c r="U63" s="2" t="s">
        <v>66</v>
      </c>
    </row>
    <row r="64" spans="1:21" ht="43.2" hidden="1" x14ac:dyDescent="0.3">
      <c r="A64" s="14" t="s">
        <v>172</v>
      </c>
      <c r="B64" s="2" t="s">
        <v>23</v>
      </c>
      <c r="C64" s="2" t="s">
        <v>220</v>
      </c>
      <c r="D64" s="2" t="s">
        <v>261</v>
      </c>
      <c r="E64" s="12" t="s">
        <v>264</v>
      </c>
      <c r="F64" s="2" t="s">
        <v>265</v>
      </c>
      <c r="G64" s="2" t="s">
        <v>28</v>
      </c>
      <c r="H64" s="2" t="s">
        <v>29</v>
      </c>
      <c r="I64" s="5" t="s">
        <v>30</v>
      </c>
      <c r="J64" s="5"/>
      <c r="K64" s="5" t="s">
        <v>30</v>
      </c>
      <c r="L64" s="5"/>
      <c r="M64" s="2" t="s">
        <v>49</v>
      </c>
      <c r="N64" s="2" t="s">
        <v>34</v>
      </c>
      <c r="O64" s="2"/>
      <c r="P64" s="2"/>
      <c r="Q64" s="7" t="s">
        <v>58</v>
      </c>
      <c r="S64" s="2" t="s">
        <v>244</v>
      </c>
      <c r="T64" s="1" t="s">
        <v>60</v>
      </c>
    </row>
    <row r="65" spans="1:21" ht="43.2" x14ac:dyDescent="0.3">
      <c r="A65" s="14" t="s">
        <v>172</v>
      </c>
      <c r="B65" s="2" t="s">
        <v>23</v>
      </c>
      <c r="C65" s="2" t="s">
        <v>220</v>
      </c>
      <c r="D65" s="2" t="s">
        <v>261</v>
      </c>
      <c r="E65" s="2" t="s">
        <v>266</v>
      </c>
      <c r="F65" s="2" t="s">
        <v>267</v>
      </c>
      <c r="G65" s="2" t="s">
        <v>46</v>
      </c>
      <c r="H65" s="2" t="s">
        <v>29</v>
      </c>
      <c r="I65" s="5" t="s">
        <v>268</v>
      </c>
      <c r="J65" s="5"/>
      <c r="K65" s="5" t="s">
        <v>30</v>
      </c>
      <c r="L65" s="5" t="s">
        <v>49</v>
      </c>
      <c r="M65" s="2" t="s">
        <v>269</v>
      </c>
      <c r="N65" s="2" t="s">
        <v>34</v>
      </c>
      <c r="O65" s="2"/>
      <c r="P65" s="2"/>
      <c r="Q65" s="7" t="s">
        <v>37</v>
      </c>
      <c r="S65" s="2" t="s">
        <v>270</v>
      </c>
      <c r="T65" s="25">
        <v>0</v>
      </c>
      <c r="U65" s="2" t="s">
        <v>66</v>
      </c>
    </row>
    <row r="66" spans="1:21" ht="43.2" x14ac:dyDescent="0.3">
      <c r="A66" s="14" t="s">
        <v>172</v>
      </c>
      <c r="B66" s="2" t="s">
        <v>23</v>
      </c>
      <c r="C66" s="2" t="s">
        <v>220</v>
      </c>
      <c r="D66" s="2" t="s">
        <v>261</v>
      </c>
      <c r="E66" s="2" t="s">
        <v>271</v>
      </c>
      <c r="F66" s="17" t="s">
        <v>272</v>
      </c>
      <c r="G66" s="2" t="s">
        <v>273</v>
      </c>
      <c r="H66" s="2" t="s">
        <v>29</v>
      </c>
      <c r="I66" s="5" t="s">
        <v>268</v>
      </c>
      <c r="J66" s="5"/>
      <c r="K66" s="5" t="s">
        <v>30</v>
      </c>
      <c r="L66" s="5" t="s">
        <v>49</v>
      </c>
      <c r="M66" s="2" t="s">
        <v>274</v>
      </c>
      <c r="N66" s="2" t="s">
        <v>34</v>
      </c>
      <c r="O66" s="2" t="s">
        <v>35</v>
      </c>
      <c r="P66" s="2" t="s">
        <v>145</v>
      </c>
      <c r="Q66" s="7" t="s">
        <v>37</v>
      </c>
      <c r="S66" s="2" t="s">
        <v>151</v>
      </c>
      <c r="T66" s="25">
        <v>0</v>
      </c>
      <c r="U66" s="2" t="s">
        <v>66</v>
      </c>
    </row>
    <row r="67" spans="1:21" ht="43.2" x14ac:dyDescent="0.3">
      <c r="A67" s="14" t="s">
        <v>172</v>
      </c>
      <c r="B67" s="2" t="s">
        <v>23</v>
      </c>
      <c r="C67" s="2" t="s">
        <v>220</v>
      </c>
      <c r="D67" s="2" t="s">
        <v>261</v>
      </c>
      <c r="E67" s="2" t="s">
        <v>275</v>
      </c>
      <c r="F67" s="2" t="s">
        <v>276</v>
      </c>
      <c r="G67" s="2" t="s">
        <v>46</v>
      </c>
      <c r="H67" s="2" t="s">
        <v>29</v>
      </c>
      <c r="I67" s="5" t="s">
        <v>106</v>
      </c>
      <c r="J67" s="5"/>
      <c r="K67" s="5" t="s">
        <v>30</v>
      </c>
      <c r="L67" s="5" t="s">
        <v>49</v>
      </c>
      <c r="M67" s="2" t="s">
        <v>49</v>
      </c>
      <c r="N67" s="2" t="s">
        <v>34</v>
      </c>
      <c r="O67" s="2"/>
      <c r="P67" s="2"/>
      <c r="Q67" s="7" t="s">
        <v>37</v>
      </c>
      <c r="S67" s="2" t="s">
        <v>277</v>
      </c>
      <c r="T67" s="25">
        <v>0</v>
      </c>
      <c r="U67" s="2" t="s">
        <v>66</v>
      </c>
    </row>
    <row r="68" spans="1:21" ht="57.6" x14ac:dyDescent="0.3">
      <c r="A68" s="14" t="s">
        <v>172</v>
      </c>
      <c r="B68" s="2" t="s">
        <v>23</v>
      </c>
      <c r="C68" s="2" t="s">
        <v>220</v>
      </c>
      <c r="D68" s="2" t="s">
        <v>261</v>
      </c>
      <c r="E68" s="2" t="s">
        <v>278</v>
      </c>
      <c r="F68" s="24" t="s">
        <v>279</v>
      </c>
      <c r="G68" s="2" t="s">
        <v>28</v>
      </c>
      <c r="H68" s="2" t="s">
        <v>29</v>
      </c>
      <c r="I68" s="5" t="s">
        <v>280</v>
      </c>
      <c r="J68" s="5" t="s">
        <v>31</v>
      </c>
      <c r="K68" s="5"/>
      <c r="L68" s="5" t="s">
        <v>49</v>
      </c>
      <c r="M68" s="2" t="s">
        <v>49</v>
      </c>
      <c r="N68" s="2" t="s">
        <v>34</v>
      </c>
      <c r="O68" s="2"/>
      <c r="P68" s="2"/>
      <c r="Q68" s="7" t="s">
        <v>37</v>
      </c>
      <c r="S68" s="2" t="s">
        <v>270</v>
      </c>
      <c r="T68" s="2" t="s">
        <v>40</v>
      </c>
      <c r="U68" s="2" t="s">
        <v>66</v>
      </c>
    </row>
    <row r="69" spans="1:21" ht="72" x14ac:dyDescent="0.3">
      <c r="A69" s="14" t="s">
        <v>172</v>
      </c>
      <c r="B69" s="2" t="s">
        <v>23</v>
      </c>
      <c r="C69" s="2" t="s">
        <v>220</v>
      </c>
      <c r="D69" s="2" t="s">
        <v>281</v>
      </c>
      <c r="E69" s="2" t="s">
        <v>282</v>
      </c>
      <c r="F69" s="2" t="s">
        <v>282</v>
      </c>
      <c r="G69" s="2" t="s">
        <v>28</v>
      </c>
      <c r="H69" s="2" t="s">
        <v>29</v>
      </c>
      <c r="I69" s="5" t="s">
        <v>283</v>
      </c>
      <c r="J69" s="5"/>
      <c r="K69" s="5" t="s">
        <v>30</v>
      </c>
      <c r="L69" s="5" t="s">
        <v>49</v>
      </c>
      <c r="M69" s="2" t="s">
        <v>284</v>
      </c>
      <c r="N69" s="2" t="s">
        <v>34</v>
      </c>
      <c r="O69" s="2" t="s">
        <v>56</v>
      </c>
      <c r="P69" s="2" t="s">
        <v>145</v>
      </c>
      <c r="Q69" s="7" t="s">
        <v>37</v>
      </c>
      <c r="S69" s="2" t="s">
        <v>285</v>
      </c>
      <c r="T69" s="25">
        <v>0</v>
      </c>
      <c r="U69" s="2" t="s">
        <v>66</v>
      </c>
    </row>
    <row r="70" spans="1:21" ht="72" x14ac:dyDescent="0.3">
      <c r="A70" s="14" t="s">
        <v>172</v>
      </c>
      <c r="B70" s="2" t="s">
        <v>23</v>
      </c>
      <c r="C70" s="2" t="s">
        <v>220</v>
      </c>
      <c r="D70" s="2" t="s">
        <v>281</v>
      </c>
      <c r="E70" s="2" t="s">
        <v>286</v>
      </c>
      <c r="F70" s="2" t="s">
        <v>286</v>
      </c>
      <c r="G70" s="2" t="s">
        <v>28</v>
      </c>
      <c r="H70" s="2" t="s">
        <v>29</v>
      </c>
      <c r="I70" s="5"/>
      <c r="J70" s="5" t="s">
        <v>31</v>
      </c>
      <c r="K70" s="5"/>
      <c r="L70" s="5" t="s">
        <v>287</v>
      </c>
      <c r="M70" s="2" t="s">
        <v>284</v>
      </c>
      <c r="N70" s="2" t="s">
        <v>34</v>
      </c>
      <c r="O70" s="2" t="s">
        <v>56</v>
      </c>
      <c r="P70" s="2" t="s">
        <v>145</v>
      </c>
      <c r="Q70" s="7" t="s">
        <v>37</v>
      </c>
      <c r="S70" s="2" t="s">
        <v>285</v>
      </c>
      <c r="T70" s="25">
        <v>0</v>
      </c>
      <c r="U70" s="2" t="s">
        <v>66</v>
      </c>
    </row>
    <row r="71" spans="1:21" ht="86.4" x14ac:dyDescent="0.3">
      <c r="A71" s="14" t="s">
        <v>172</v>
      </c>
      <c r="B71" s="2" t="s">
        <v>156</v>
      </c>
      <c r="C71" s="2" t="s">
        <v>227</v>
      </c>
      <c r="D71" s="2" t="s">
        <v>288</v>
      </c>
      <c r="E71" s="12" t="s">
        <v>289</v>
      </c>
      <c r="F71" s="2" t="s">
        <v>290</v>
      </c>
      <c r="G71" s="2" t="s">
        <v>239</v>
      </c>
      <c r="H71" s="2" t="s">
        <v>29</v>
      </c>
      <c r="I71" s="5"/>
      <c r="J71" s="6" t="s">
        <v>240</v>
      </c>
      <c r="L71" s="5" t="s">
        <v>291</v>
      </c>
      <c r="M71" s="1" t="s">
        <v>49</v>
      </c>
      <c r="N71" s="2" t="s">
        <v>34</v>
      </c>
      <c r="O71" s="2" t="s">
        <v>35</v>
      </c>
      <c r="P71" s="2" t="s">
        <v>64</v>
      </c>
      <c r="Q71" s="7" t="s">
        <v>37</v>
      </c>
      <c r="S71" s="2" t="s">
        <v>242</v>
      </c>
      <c r="T71" s="25">
        <v>0</v>
      </c>
      <c r="U71" s="2" t="s">
        <v>66</v>
      </c>
    </row>
    <row r="72" spans="1:21" ht="86.4" x14ac:dyDescent="0.3">
      <c r="A72" s="14" t="s">
        <v>172</v>
      </c>
      <c r="B72" s="2" t="s">
        <v>156</v>
      </c>
      <c r="C72" s="2" t="s">
        <v>227</v>
      </c>
      <c r="D72" s="2" t="s">
        <v>221</v>
      </c>
      <c r="E72" s="12" t="s">
        <v>292</v>
      </c>
      <c r="F72" s="2" t="s">
        <v>293</v>
      </c>
      <c r="G72" s="2" t="s">
        <v>239</v>
      </c>
      <c r="H72" s="2" t="s">
        <v>29</v>
      </c>
      <c r="I72" s="5"/>
      <c r="J72" s="5" t="s">
        <v>240</v>
      </c>
      <c r="K72" s="18"/>
      <c r="L72" s="18" t="s">
        <v>49</v>
      </c>
      <c r="M72" s="1" t="s">
        <v>294</v>
      </c>
      <c r="N72" s="2" t="s">
        <v>34</v>
      </c>
      <c r="O72" s="2" t="s">
        <v>35</v>
      </c>
      <c r="P72" s="2" t="s">
        <v>64</v>
      </c>
      <c r="Q72" s="7" t="s">
        <v>37</v>
      </c>
      <c r="S72" s="2" t="s">
        <v>242</v>
      </c>
      <c r="T72" s="25">
        <v>0</v>
      </c>
      <c r="U72" s="2" t="s">
        <v>66</v>
      </c>
    </row>
    <row r="73" spans="1:21" ht="43.2" hidden="1" x14ac:dyDescent="0.3">
      <c r="A73" s="14" t="s">
        <v>172</v>
      </c>
      <c r="B73" s="2" t="s">
        <v>156</v>
      </c>
      <c r="C73" s="2" t="s">
        <v>227</v>
      </c>
      <c r="D73" s="2" t="s">
        <v>288</v>
      </c>
      <c r="E73" s="2" t="s">
        <v>295</v>
      </c>
      <c r="F73" s="2" t="s">
        <v>296</v>
      </c>
      <c r="G73" s="2" t="s">
        <v>28</v>
      </c>
      <c r="H73" s="2" t="s">
        <v>29</v>
      </c>
      <c r="K73" s="18" t="s">
        <v>30</v>
      </c>
      <c r="L73" s="18"/>
      <c r="M73" s="1" t="s">
        <v>49</v>
      </c>
      <c r="N73" s="2" t="s">
        <v>34</v>
      </c>
      <c r="Q73" s="7" t="s">
        <v>58</v>
      </c>
      <c r="S73" s="2" t="s">
        <v>244</v>
      </c>
      <c r="T73" s="1" t="s">
        <v>60</v>
      </c>
    </row>
    <row r="74" spans="1:21" ht="35.4" hidden="1" customHeight="1" x14ac:dyDescent="0.3">
      <c r="A74" s="14" t="s">
        <v>172</v>
      </c>
      <c r="B74" s="2" t="s">
        <v>156</v>
      </c>
      <c r="C74" s="2" t="s">
        <v>227</v>
      </c>
      <c r="D74" s="2" t="s">
        <v>221</v>
      </c>
      <c r="E74" s="2" t="s">
        <v>297</v>
      </c>
      <c r="F74" s="19" t="s">
        <v>298</v>
      </c>
      <c r="N74" s="2" t="s">
        <v>34</v>
      </c>
      <c r="Q74" s="7" t="s">
        <v>58</v>
      </c>
      <c r="S74" s="2" t="s">
        <v>244</v>
      </c>
      <c r="T74" s="1" t="s">
        <v>60</v>
      </c>
    </row>
    <row r="75" spans="1:21" ht="43.2" x14ac:dyDescent="0.3">
      <c r="A75" s="20" t="s">
        <v>299</v>
      </c>
      <c r="B75" s="2" t="s">
        <v>300</v>
      </c>
      <c r="C75" s="2" t="s">
        <v>156</v>
      </c>
      <c r="D75" s="2" t="s">
        <v>301</v>
      </c>
      <c r="E75" s="2" t="s">
        <v>302</v>
      </c>
      <c r="F75" s="17" t="s">
        <v>303</v>
      </c>
      <c r="G75" s="2" t="s">
        <v>304</v>
      </c>
      <c r="H75" s="2" t="s">
        <v>29</v>
      </c>
      <c r="I75" s="5"/>
      <c r="J75" s="5" t="s">
        <v>305</v>
      </c>
      <c r="K75" s="6"/>
      <c r="L75" s="6" t="s">
        <v>49</v>
      </c>
      <c r="M75" s="2" t="s">
        <v>306</v>
      </c>
      <c r="N75" s="2" t="s">
        <v>34</v>
      </c>
      <c r="O75" s="2" t="s">
        <v>56</v>
      </c>
      <c r="P75" s="2" t="s">
        <v>307</v>
      </c>
      <c r="Q75" s="7" t="s">
        <v>37</v>
      </c>
      <c r="S75" s="2" t="s">
        <v>308</v>
      </c>
      <c r="T75" s="2" t="s">
        <v>396</v>
      </c>
      <c r="U75" s="2" t="s">
        <v>66</v>
      </c>
    </row>
    <row r="76" spans="1:21" ht="43.2" x14ac:dyDescent="0.3">
      <c r="A76" s="20" t="s">
        <v>299</v>
      </c>
      <c r="B76" s="2" t="s">
        <v>300</v>
      </c>
      <c r="C76" s="2" t="s">
        <v>156</v>
      </c>
      <c r="D76" s="2" t="s">
        <v>301</v>
      </c>
      <c r="E76" s="2" t="s">
        <v>309</v>
      </c>
      <c r="F76" s="17" t="s">
        <v>310</v>
      </c>
      <c r="G76" s="2" t="s">
        <v>304</v>
      </c>
      <c r="H76" s="2" t="s">
        <v>29</v>
      </c>
      <c r="I76" s="5"/>
      <c r="J76" s="5" t="s">
        <v>305</v>
      </c>
      <c r="K76" s="6"/>
      <c r="L76" s="6" t="s">
        <v>49</v>
      </c>
      <c r="M76" s="2" t="s">
        <v>306</v>
      </c>
      <c r="N76" s="2" t="s">
        <v>34</v>
      </c>
      <c r="O76" s="2" t="s">
        <v>56</v>
      </c>
      <c r="P76" s="2" t="s">
        <v>307</v>
      </c>
      <c r="Q76" s="7" t="s">
        <v>37</v>
      </c>
      <c r="S76" s="2" t="s">
        <v>308</v>
      </c>
      <c r="T76" s="2" t="s">
        <v>396</v>
      </c>
      <c r="U76" s="2" t="s">
        <v>66</v>
      </c>
    </row>
    <row r="77" spans="1:21" ht="43.2" x14ac:dyDescent="0.3">
      <c r="A77" s="20" t="s">
        <v>299</v>
      </c>
      <c r="B77" s="2" t="s">
        <v>300</v>
      </c>
      <c r="C77" s="2" t="s">
        <v>156</v>
      </c>
      <c r="D77" s="2" t="s">
        <v>301</v>
      </c>
      <c r="E77" s="2" t="s">
        <v>311</v>
      </c>
      <c r="F77" s="17" t="s">
        <v>312</v>
      </c>
      <c r="G77" s="2" t="s">
        <v>304</v>
      </c>
      <c r="H77" s="2" t="s">
        <v>29</v>
      </c>
      <c r="I77" s="5"/>
      <c r="J77" s="5"/>
      <c r="K77" s="6" t="s">
        <v>30</v>
      </c>
      <c r="L77" s="6" t="s">
        <v>49</v>
      </c>
      <c r="M77" s="2" t="s">
        <v>306</v>
      </c>
      <c r="N77" s="2" t="s">
        <v>34</v>
      </c>
      <c r="O77" s="2" t="s">
        <v>56</v>
      </c>
      <c r="P77" s="2" t="s">
        <v>307</v>
      </c>
      <c r="Q77" s="7" t="s">
        <v>37</v>
      </c>
      <c r="S77" s="2" t="s">
        <v>308</v>
      </c>
      <c r="T77" s="2" t="s">
        <v>396</v>
      </c>
      <c r="U77" s="2" t="s">
        <v>66</v>
      </c>
    </row>
    <row r="78" spans="1:21" ht="43.2" x14ac:dyDescent="0.3">
      <c r="A78" s="20" t="s">
        <v>299</v>
      </c>
      <c r="B78" s="2" t="s">
        <v>300</v>
      </c>
      <c r="C78" s="2" t="s">
        <v>156</v>
      </c>
      <c r="D78" s="2" t="s">
        <v>301</v>
      </c>
      <c r="E78" s="2" t="s">
        <v>313</v>
      </c>
      <c r="F78" s="17" t="s">
        <v>314</v>
      </c>
      <c r="G78" s="2" t="s">
        <v>304</v>
      </c>
      <c r="H78" s="2" t="s">
        <v>29</v>
      </c>
      <c r="I78" s="5"/>
      <c r="J78" s="5"/>
      <c r="K78" s="6" t="s">
        <v>30</v>
      </c>
      <c r="L78" s="6" t="s">
        <v>49</v>
      </c>
      <c r="M78" s="2" t="s">
        <v>306</v>
      </c>
      <c r="N78" s="2" t="s">
        <v>34</v>
      </c>
      <c r="O78" s="2" t="s">
        <v>56</v>
      </c>
      <c r="P78" s="2" t="s">
        <v>307</v>
      </c>
      <c r="Q78" s="7" t="s">
        <v>37</v>
      </c>
      <c r="S78" s="2" t="s">
        <v>308</v>
      </c>
      <c r="T78" s="2" t="s">
        <v>396</v>
      </c>
      <c r="U78" s="2" t="s">
        <v>66</v>
      </c>
    </row>
    <row r="79" spans="1:21" ht="43.2" x14ac:dyDescent="0.3">
      <c r="A79" s="20" t="s">
        <v>299</v>
      </c>
      <c r="B79" s="2" t="s">
        <v>300</v>
      </c>
      <c r="C79" s="2" t="s">
        <v>156</v>
      </c>
      <c r="D79" s="2" t="s">
        <v>301</v>
      </c>
      <c r="E79" s="2" t="s">
        <v>315</v>
      </c>
      <c r="F79" s="17" t="s">
        <v>316</v>
      </c>
      <c r="G79" s="2" t="s">
        <v>317</v>
      </c>
      <c r="H79" s="2" t="s">
        <v>29</v>
      </c>
      <c r="I79" s="5"/>
      <c r="J79" s="5" t="s">
        <v>305</v>
      </c>
      <c r="K79" s="6"/>
      <c r="L79" s="6" t="s">
        <v>49</v>
      </c>
      <c r="M79" s="2" t="s">
        <v>306</v>
      </c>
      <c r="N79" s="2" t="s">
        <v>34</v>
      </c>
      <c r="O79" s="2" t="s">
        <v>56</v>
      </c>
      <c r="P79" s="2" t="s">
        <v>307</v>
      </c>
      <c r="Q79" s="7" t="s">
        <v>37</v>
      </c>
      <c r="S79" s="2" t="s">
        <v>308</v>
      </c>
      <c r="T79" s="2" t="s">
        <v>396</v>
      </c>
      <c r="U79" s="2" t="s">
        <v>66</v>
      </c>
    </row>
    <row r="80" spans="1:21" ht="43.2" x14ac:dyDescent="0.3">
      <c r="A80" s="20" t="s">
        <v>299</v>
      </c>
      <c r="B80" s="2" t="s">
        <v>300</v>
      </c>
      <c r="C80" s="2" t="s">
        <v>156</v>
      </c>
      <c r="D80" s="2" t="s">
        <v>301</v>
      </c>
      <c r="E80" s="2" t="s">
        <v>318</v>
      </c>
      <c r="F80" s="17" t="s">
        <v>319</v>
      </c>
      <c r="G80" s="2" t="s">
        <v>317</v>
      </c>
      <c r="H80" s="2" t="s">
        <v>29</v>
      </c>
      <c r="I80" s="5"/>
      <c r="J80" s="5" t="s">
        <v>305</v>
      </c>
      <c r="K80" s="6"/>
      <c r="L80" s="6" t="s">
        <v>49</v>
      </c>
      <c r="M80" s="2" t="s">
        <v>306</v>
      </c>
      <c r="N80" s="2" t="s">
        <v>34</v>
      </c>
      <c r="O80" s="2" t="s">
        <v>56</v>
      </c>
      <c r="P80" s="2" t="s">
        <v>307</v>
      </c>
      <c r="Q80" s="7" t="s">
        <v>37</v>
      </c>
      <c r="S80" s="2" t="s">
        <v>308</v>
      </c>
      <c r="T80" s="2" t="s">
        <v>396</v>
      </c>
      <c r="U80" s="2" t="s">
        <v>66</v>
      </c>
    </row>
    <row r="81" spans="1:21" ht="43.2" x14ac:dyDescent="0.3">
      <c r="A81" s="20" t="s">
        <v>299</v>
      </c>
      <c r="B81" s="2" t="s">
        <v>300</v>
      </c>
      <c r="C81" s="2" t="s">
        <v>156</v>
      </c>
      <c r="D81" s="2" t="s">
        <v>301</v>
      </c>
      <c r="E81" s="2" t="s">
        <v>320</v>
      </c>
      <c r="F81" s="17" t="s">
        <v>321</v>
      </c>
      <c r="G81" s="2" t="s">
        <v>317</v>
      </c>
      <c r="H81" s="2" t="s">
        <v>29</v>
      </c>
      <c r="I81" s="5"/>
      <c r="J81" s="5"/>
      <c r="K81" s="6" t="s">
        <v>30</v>
      </c>
      <c r="L81" s="6" t="s">
        <v>49</v>
      </c>
      <c r="M81" s="2" t="s">
        <v>306</v>
      </c>
      <c r="N81" s="2" t="s">
        <v>34</v>
      </c>
      <c r="O81" s="2" t="s">
        <v>56</v>
      </c>
      <c r="P81" s="2" t="s">
        <v>307</v>
      </c>
      <c r="Q81" s="7" t="s">
        <v>37</v>
      </c>
      <c r="S81" s="2" t="s">
        <v>308</v>
      </c>
      <c r="T81" s="2" t="s">
        <v>396</v>
      </c>
      <c r="U81" s="2" t="s">
        <v>66</v>
      </c>
    </row>
    <row r="82" spans="1:21" ht="43.2" x14ac:dyDescent="0.3">
      <c r="A82" s="20" t="s">
        <v>299</v>
      </c>
      <c r="B82" s="2" t="s">
        <v>300</v>
      </c>
      <c r="C82" s="2" t="s">
        <v>156</v>
      </c>
      <c r="D82" s="2" t="s">
        <v>301</v>
      </c>
      <c r="E82" s="2" t="s">
        <v>322</v>
      </c>
      <c r="F82" s="17" t="s">
        <v>323</v>
      </c>
      <c r="G82" s="2" t="s">
        <v>317</v>
      </c>
      <c r="H82" s="2" t="s">
        <v>29</v>
      </c>
      <c r="I82" s="5"/>
      <c r="J82" s="5"/>
      <c r="K82" s="6" t="s">
        <v>30</v>
      </c>
      <c r="L82" s="6" t="s">
        <v>49</v>
      </c>
      <c r="M82" s="2" t="s">
        <v>306</v>
      </c>
      <c r="N82" s="2" t="s">
        <v>34</v>
      </c>
      <c r="O82" s="2" t="s">
        <v>56</v>
      </c>
      <c r="P82" s="2" t="s">
        <v>307</v>
      </c>
      <c r="Q82" s="7" t="s">
        <v>37</v>
      </c>
      <c r="S82" s="2" t="s">
        <v>308</v>
      </c>
      <c r="T82" s="2" t="s">
        <v>396</v>
      </c>
      <c r="U82" s="2" t="s">
        <v>66</v>
      </c>
    </row>
    <row r="83" spans="1:21" ht="43.2" x14ac:dyDescent="0.3">
      <c r="A83" s="20" t="s">
        <v>299</v>
      </c>
      <c r="B83" s="2" t="s">
        <v>300</v>
      </c>
      <c r="C83" s="2" t="s">
        <v>156</v>
      </c>
      <c r="D83" s="2" t="s">
        <v>324</v>
      </c>
      <c r="E83" s="2" t="s">
        <v>325</v>
      </c>
      <c r="F83" s="26" t="s">
        <v>397</v>
      </c>
      <c r="G83" s="2" t="s">
        <v>399</v>
      </c>
      <c r="H83" s="2" t="s">
        <v>29</v>
      </c>
      <c r="I83" s="6"/>
      <c r="J83" s="6"/>
      <c r="K83" s="6" t="s">
        <v>326</v>
      </c>
      <c r="L83" s="6" t="s">
        <v>49</v>
      </c>
      <c r="M83" s="2" t="s">
        <v>306</v>
      </c>
      <c r="N83" s="2" t="s">
        <v>327</v>
      </c>
      <c r="O83" s="2" t="s">
        <v>56</v>
      </c>
      <c r="P83" s="2" t="s">
        <v>307</v>
      </c>
      <c r="Q83" s="7" t="s">
        <v>37</v>
      </c>
      <c r="S83" s="2" t="s">
        <v>308</v>
      </c>
      <c r="T83" s="2" t="s">
        <v>396</v>
      </c>
      <c r="U83" s="2" t="s">
        <v>66</v>
      </c>
    </row>
    <row r="84" spans="1:21" ht="43.2" x14ac:dyDescent="0.3">
      <c r="A84" s="20" t="s">
        <v>299</v>
      </c>
      <c r="B84" s="2" t="s">
        <v>300</v>
      </c>
      <c r="C84" s="2" t="s">
        <v>156</v>
      </c>
      <c r="D84" s="2" t="s">
        <v>324</v>
      </c>
      <c r="E84" s="2" t="s">
        <v>328</v>
      </c>
      <c r="F84" s="26" t="s">
        <v>398</v>
      </c>
      <c r="G84" s="2" t="s">
        <v>400</v>
      </c>
      <c r="H84" s="2" t="s">
        <v>29</v>
      </c>
      <c r="I84" s="6"/>
      <c r="J84" s="6"/>
      <c r="K84" s="6" t="s">
        <v>326</v>
      </c>
      <c r="L84" s="6" t="s">
        <v>49</v>
      </c>
      <c r="M84" s="2" t="s">
        <v>306</v>
      </c>
      <c r="N84" s="2" t="s">
        <v>327</v>
      </c>
      <c r="O84" s="2" t="s">
        <v>56</v>
      </c>
      <c r="P84" s="2" t="s">
        <v>307</v>
      </c>
      <c r="Q84" s="7" t="s">
        <v>37</v>
      </c>
      <c r="S84" s="2" t="s">
        <v>308</v>
      </c>
      <c r="T84" s="2" t="s">
        <v>396</v>
      </c>
      <c r="U84" s="2" t="s">
        <v>66</v>
      </c>
    </row>
    <row r="85" spans="1:21" ht="57" hidden="1" customHeight="1" x14ac:dyDescent="0.3">
      <c r="A85" s="20" t="s">
        <v>299</v>
      </c>
      <c r="B85" s="2" t="s">
        <v>156</v>
      </c>
      <c r="C85" s="2" t="s">
        <v>156</v>
      </c>
      <c r="D85" s="2" t="s">
        <v>156</v>
      </c>
      <c r="E85" s="2" t="s">
        <v>329</v>
      </c>
      <c r="F85" s="2" t="s">
        <v>330</v>
      </c>
      <c r="G85" s="2" t="s">
        <v>54</v>
      </c>
      <c r="H85" s="2"/>
      <c r="I85" s="6"/>
      <c r="J85" s="6"/>
      <c r="K85" s="6"/>
      <c r="L85" s="6"/>
      <c r="M85" s="2" t="s">
        <v>331</v>
      </c>
      <c r="N85" s="2" t="s">
        <v>102</v>
      </c>
      <c r="O85" s="2"/>
      <c r="P85" s="2"/>
      <c r="Q85" s="7" t="s">
        <v>58</v>
      </c>
      <c r="S85" s="2"/>
      <c r="T85" s="1" t="s">
        <v>60</v>
      </c>
    </row>
    <row r="86" spans="1:21" ht="57.6" x14ac:dyDescent="0.3">
      <c r="A86" s="20" t="s">
        <v>299</v>
      </c>
      <c r="B86" s="2" t="s">
        <v>156</v>
      </c>
      <c r="C86" s="2" t="s">
        <v>156</v>
      </c>
      <c r="D86" s="2" t="s">
        <v>332</v>
      </c>
      <c r="E86" s="17" t="s">
        <v>333</v>
      </c>
      <c r="F86" s="17" t="s">
        <v>334</v>
      </c>
      <c r="G86" s="2" t="s">
        <v>28</v>
      </c>
      <c r="H86" s="2" t="s">
        <v>29</v>
      </c>
      <c r="I86" s="6"/>
      <c r="J86" s="5" t="s">
        <v>31</v>
      </c>
      <c r="K86" s="6"/>
      <c r="L86" s="6" t="s">
        <v>335</v>
      </c>
      <c r="M86" s="2" t="s">
        <v>336</v>
      </c>
      <c r="N86" s="2"/>
      <c r="O86" s="2" t="s">
        <v>56</v>
      </c>
      <c r="P86" s="2" t="s">
        <v>145</v>
      </c>
      <c r="Q86" s="7" t="s">
        <v>37</v>
      </c>
      <c r="S86" s="2" t="s">
        <v>406</v>
      </c>
      <c r="T86" s="25">
        <v>0</v>
      </c>
      <c r="U86" s="2" t="s">
        <v>66</v>
      </c>
    </row>
    <row r="87" spans="1:21" ht="57.6" x14ac:dyDescent="0.3">
      <c r="A87" s="20" t="s">
        <v>299</v>
      </c>
      <c r="B87" s="2" t="s">
        <v>156</v>
      </c>
      <c r="C87" s="2" t="s">
        <v>156</v>
      </c>
      <c r="D87" s="2" t="s">
        <v>332</v>
      </c>
      <c r="E87" s="17" t="s">
        <v>401</v>
      </c>
      <c r="F87" s="17" t="s">
        <v>402</v>
      </c>
      <c r="G87" s="2" t="s">
        <v>28</v>
      </c>
      <c r="H87" s="2" t="s">
        <v>29</v>
      </c>
      <c r="I87" s="6"/>
      <c r="J87" s="6" t="s">
        <v>195</v>
      </c>
      <c r="K87" s="6"/>
      <c r="L87" s="6" t="s">
        <v>335</v>
      </c>
      <c r="M87" s="2" t="s">
        <v>336</v>
      </c>
      <c r="N87" s="2"/>
      <c r="O87" s="2" t="s">
        <v>56</v>
      </c>
      <c r="P87" s="2" t="s">
        <v>145</v>
      </c>
      <c r="Q87" s="7" t="s">
        <v>37</v>
      </c>
      <c r="R87" s="2" t="s">
        <v>337</v>
      </c>
      <c r="S87" s="2" t="s">
        <v>406</v>
      </c>
      <c r="T87" s="25">
        <v>0</v>
      </c>
      <c r="U87" s="2" t="s">
        <v>66</v>
      </c>
    </row>
    <row r="88" spans="1:21" ht="72" x14ac:dyDescent="0.3">
      <c r="A88" s="20" t="s">
        <v>403</v>
      </c>
      <c r="B88" s="2" t="s">
        <v>156</v>
      </c>
      <c r="C88" s="2" t="s">
        <v>156</v>
      </c>
      <c r="D88" s="2" t="s">
        <v>338</v>
      </c>
      <c r="E88" s="2" t="s">
        <v>404</v>
      </c>
      <c r="F88" s="17" t="s">
        <v>339</v>
      </c>
      <c r="G88" s="2" t="s">
        <v>46</v>
      </c>
      <c r="H88" s="2" t="s">
        <v>29</v>
      </c>
      <c r="I88" s="6"/>
      <c r="J88" s="6" t="s">
        <v>195</v>
      </c>
      <c r="K88" s="6"/>
      <c r="L88" s="6" t="s">
        <v>340</v>
      </c>
      <c r="M88" s="2" t="s">
        <v>341</v>
      </c>
      <c r="N88" s="2"/>
      <c r="O88" s="2" t="s">
        <v>35</v>
      </c>
      <c r="P88" s="2" t="s">
        <v>64</v>
      </c>
      <c r="Q88" s="7" t="s">
        <v>37</v>
      </c>
      <c r="S88" s="2" t="s">
        <v>242</v>
      </c>
      <c r="T88" s="25">
        <v>0</v>
      </c>
      <c r="U88" s="2" t="s">
        <v>66</v>
      </c>
    </row>
    <row r="89" spans="1:21" ht="72" x14ac:dyDescent="0.3">
      <c r="A89" s="20" t="s">
        <v>299</v>
      </c>
      <c r="B89" s="2" t="s">
        <v>156</v>
      </c>
      <c r="C89" s="2" t="s">
        <v>156</v>
      </c>
      <c r="D89" s="2" t="s">
        <v>338</v>
      </c>
      <c r="E89" s="2" t="s">
        <v>405</v>
      </c>
      <c r="F89" s="17" t="s">
        <v>342</v>
      </c>
      <c r="G89" s="2" t="s">
        <v>46</v>
      </c>
      <c r="H89" s="2" t="s">
        <v>29</v>
      </c>
      <c r="I89" s="6"/>
      <c r="J89" s="6" t="s">
        <v>195</v>
      </c>
      <c r="K89" s="6"/>
      <c r="L89" s="6" t="s">
        <v>340</v>
      </c>
      <c r="M89" s="2" t="s">
        <v>341</v>
      </c>
      <c r="N89" s="2"/>
      <c r="O89" s="2" t="s">
        <v>35</v>
      </c>
      <c r="P89" s="2" t="s">
        <v>64</v>
      </c>
      <c r="Q89" s="7" t="s">
        <v>37</v>
      </c>
      <c r="S89" s="2" t="s">
        <v>242</v>
      </c>
      <c r="T89" s="25">
        <v>0</v>
      </c>
      <c r="U89" s="2" t="s">
        <v>66</v>
      </c>
    </row>
    <row r="90" spans="1:21" ht="43.2" hidden="1" x14ac:dyDescent="0.3">
      <c r="A90" s="20" t="s">
        <v>299</v>
      </c>
      <c r="B90" s="2" t="s">
        <v>23</v>
      </c>
      <c r="C90" s="2" t="s">
        <v>156</v>
      </c>
      <c r="D90" s="2" t="s">
        <v>261</v>
      </c>
      <c r="E90" s="2" t="s">
        <v>343</v>
      </c>
      <c r="F90" s="2" t="s">
        <v>344</v>
      </c>
      <c r="G90" s="2" t="s">
        <v>28</v>
      </c>
      <c r="H90" s="2" t="s">
        <v>29</v>
      </c>
      <c r="I90" s="5"/>
      <c r="J90" s="5"/>
      <c r="K90" s="5" t="s">
        <v>30</v>
      </c>
      <c r="L90" s="5" t="s">
        <v>49</v>
      </c>
      <c r="M90" s="2"/>
      <c r="N90" s="2" t="s">
        <v>102</v>
      </c>
      <c r="O90" s="2" t="s">
        <v>56</v>
      </c>
      <c r="P90" s="2"/>
      <c r="Q90" s="7" t="s">
        <v>58</v>
      </c>
      <c r="R90" s="1" t="s">
        <v>225</v>
      </c>
      <c r="S90" s="2" t="s">
        <v>345</v>
      </c>
      <c r="T90" s="1" t="s">
        <v>49</v>
      </c>
    </row>
    <row r="91" spans="1:21" ht="43.2" hidden="1" x14ac:dyDescent="0.3">
      <c r="A91" s="20" t="s">
        <v>299</v>
      </c>
      <c r="B91" s="2" t="s">
        <v>156</v>
      </c>
      <c r="C91" s="2" t="s">
        <v>156</v>
      </c>
      <c r="D91" s="2" t="s">
        <v>346</v>
      </c>
      <c r="E91" s="2" t="s">
        <v>347</v>
      </c>
      <c r="F91" s="2"/>
      <c r="G91" s="2" t="s">
        <v>54</v>
      </c>
      <c r="H91" s="2"/>
      <c r="I91" s="5"/>
      <c r="J91" s="5"/>
      <c r="K91" s="5"/>
      <c r="L91" s="5"/>
      <c r="M91" s="2"/>
      <c r="N91" s="2"/>
      <c r="O91" s="2"/>
      <c r="P91" s="2"/>
      <c r="Q91" s="7" t="s">
        <v>58</v>
      </c>
      <c r="S91" s="2" t="s">
        <v>244</v>
      </c>
      <c r="T91" s="1" t="s">
        <v>60</v>
      </c>
    </row>
    <row r="92" spans="1:21" ht="144" x14ac:dyDescent="0.3">
      <c r="A92" s="20" t="s">
        <v>299</v>
      </c>
      <c r="B92" s="2" t="s">
        <v>156</v>
      </c>
      <c r="C92" s="2" t="s">
        <v>156</v>
      </c>
      <c r="D92" s="2" t="s">
        <v>348</v>
      </c>
      <c r="E92" s="17" t="s">
        <v>349</v>
      </c>
      <c r="F92" s="17" t="s">
        <v>350</v>
      </c>
      <c r="G92" s="2" t="s">
        <v>28</v>
      </c>
      <c r="H92" s="2" t="s">
        <v>29</v>
      </c>
      <c r="I92" s="5"/>
      <c r="J92" s="6" t="s">
        <v>31</v>
      </c>
      <c r="K92" s="5"/>
      <c r="L92" s="21" t="s">
        <v>351</v>
      </c>
      <c r="M92" s="22" t="s">
        <v>352</v>
      </c>
      <c r="N92" s="2"/>
      <c r="O92" s="2" t="s">
        <v>56</v>
      </c>
      <c r="P92" s="2" t="s">
        <v>145</v>
      </c>
      <c r="Q92" s="7" t="s">
        <v>37</v>
      </c>
      <c r="S92" s="2" t="s">
        <v>337</v>
      </c>
      <c r="T92" s="25">
        <v>0</v>
      </c>
      <c r="U92" s="2" t="s">
        <v>66</v>
      </c>
    </row>
    <row r="93" spans="1:21" ht="144" x14ac:dyDescent="0.3">
      <c r="A93" s="20" t="s">
        <v>299</v>
      </c>
      <c r="B93" s="2" t="s">
        <v>156</v>
      </c>
      <c r="C93" s="2" t="s">
        <v>156</v>
      </c>
      <c r="D93" s="2" t="s">
        <v>348</v>
      </c>
      <c r="E93" s="17" t="s">
        <v>394</v>
      </c>
      <c r="F93" s="17" t="s">
        <v>395</v>
      </c>
      <c r="G93" s="2" t="s">
        <v>28</v>
      </c>
      <c r="H93" s="2" t="s">
        <v>29</v>
      </c>
      <c r="I93" s="5"/>
      <c r="J93" s="6" t="s">
        <v>195</v>
      </c>
      <c r="K93" s="5"/>
      <c r="L93" s="21" t="s">
        <v>351</v>
      </c>
      <c r="M93" s="22" t="s">
        <v>352</v>
      </c>
      <c r="N93" s="2"/>
      <c r="O93" s="2" t="s">
        <v>56</v>
      </c>
      <c r="P93" s="2" t="s">
        <v>145</v>
      </c>
      <c r="Q93" s="7" t="s">
        <v>37</v>
      </c>
      <c r="R93" s="2" t="s">
        <v>337</v>
      </c>
      <c r="S93" s="2" t="s">
        <v>178</v>
      </c>
      <c r="T93" s="25">
        <v>0</v>
      </c>
      <c r="U93" s="2" t="s">
        <v>66</v>
      </c>
    </row>
    <row r="94" spans="1:21" ht="43.2" x14ac:dyDescent="0.3">
      <c r="A94" s="9" t="s">
        <v>353</v>
      </c>
      <c r="C94" s="2" t="s">
        <v>174</v>
      </c>
      <c r="D94" s="2" t="s">
        <v>288</v>
      </c>
      <c r="E94" s="2" t="s">
        <v>354</v>
      </c>
      <c r="F94" s="2" t="s">
        <v>355</v>
      </c>
      <c r="G94" s="2" t="s">
        <v>356</v>
      </c>
      <c r="H94" s="2" t="s">
        <v>356</v>
      </c>
      <c r="I94" s="2" t="s">
        <v>356</v>
      </c>
      <c r="J94" s="2" t="s">
        <v>356</v>
      </c>
      <c r="K94" s="2" t="s">
        <v>356</v>
      </c>
      <c r="L94" s="2" t="s">
        <v>356</v>
      </c>
      <c r="M94" s="2" t="s">
        <v>356</v>
      </c>
      <c r="N94" s="2" t="s">
        <v>356</v>
      </c>
      <c r="O94" s="2" t="s">
        <v>356</v>
      </c>
      <c r="P94" s="2" t="s">
        <v>356</v>
      </c>
      <c r="Q94" s="7" t="s">
        <v>37</v>
      </c>
      <c r="S94" s="2" t="s">
        <v>356</v>
      </c>
      <c r="T94" s="2" t="s">
        <v>356</v>
      </c>
      <c r="U94" s="2"/>
    </row>
    <row r="95" spans="1:21" ht="43.2" x14ac:dyDescent="0.3">
      <c r="A95" s="9" t="s">
        <v>353</v>
      </c>
      <c r="C95" s="2" t="s">
        <v>196</v>
      </c>
      <c r="D95" s="2" t="s">
        <v>288</v>
      </c>
      <c r="E95" s="2" t="s">
        <v>354</v>
      </c>
      <c r="F95" s="2" t="s">
        <v>357</v>
      </c>
      <c r="G95" s="2" t="s">
        <v>356</v>
      </c>
      <c r="H95" s="2" t="s">
        <v>356</v>
      </c>
      <c r="I95" s="2" t="s">
        <v>356</v>
      </c>
      <c r="J95" s="2" t="s">
        <v>356</v>
      </c>
      <c r="K95" s="2" t="s">
        <v>356</v>
      </c>
      <c r="L95" s="2" t="s">
        <v>356</v>
      </c>
      <c r="M95" s="2" t="s">
        <v>356</v>
      </c>
      <c r="N95" s="2" t="s">
        <v>356</v>
      </c>
      <c r="O95" s="2" t="s">
        <v>356</v>
      </c>
      <c r="P95" s="2" t="s">
        <v>356</v>
      </c>
      <c r="Q95" s="7" t="s">
        <v>37</v>
      </c>
      <c r="S95" s="2" t="s">
        <v>356</v>
      </c>
      <c r="T95" s="2" t="s">
        <v>356</v>
      </c>
      <c r="U95" s="2"/>
    </row>
    <row r="96" spans="1:21" ht="43.2" x14ac:dyDescent="0.3">
      <c r="A96" s="9" t="s">
        <v>353</v>
      </c>
      <c r="C96" s="2" t="s">
        <v>358</v>
      </c>
      <c r="D96" s="2" t="s">
        <v>359</v>
      </c>
      <c r="E96" s="2" t="s">
        <v>360</v>
      </c>
      <c r="F96" s="2" t="s">
        <v>361</v>
      </c>
      <c r="G96" s="2" t="s">
        <v>362</v>
      </c>
      <c r="H96" s="2" t="s">
        <v>29</v>
      </c>
      <c r="K96" s="5" t="s">
        <v>30</v>
      </c>
      <c r="L96" s="5" t="s">
        <v>49</v>
      </c>
      <c r="Q96" s="7" t="s">
        <v>37</v>
      </c>
      <c r="S96" s="2" t="s">
        <v>363</v>
      </c>
      <c r="T96" s="2" t="s">
        <v>49</v>
      </c>
      <c r="U96" s="2"/>
    </row>
    <row r="97" spans="1:21" ht="43.2" x14ac:dyDescent="0.3">
      <c r="A97" s="9" t="s">
        <v>353</v>
      </c>
      <c r="C97" s="2" t="s">
        <v>358</v>
      </c>
      <c r="D97" s="2" t="s">
        <v>359</v>
      </c>
      <c r="E97" s="2" t="s">
        <v>364</v>
      </c>
      <c r="F97" s="2" t="s">
        <v>365</v>
      </c>
      <c r="G97" s="2" t="s">
        <v>362</v>
      </c>
      <c r="H97" s="2" t="s">
        <v>29</v>
      </c>
      <c r="J97" s="5" t="s">
        <v>195</v>
      </c>
      <c r="K97" s="5"/>
      <c r="L97" s="5" t="s">
        <v>49</v>
      </c>
      <c r="Q97" s="7" t="s">
        <v>37</v>
      </c>
      <c r="S97" s="2" t="s">
        <v>366</v>
      </c>
      <c r="T97" s="2" t="s">
        <v>49</v>
      </c>
      <c r="U97" s="2"/>
    </row>
    <row r="98" spans="1:21" s="2" customFormat="1" ht="43.2" x14ac:dyDescent="0.3">
      <c r="A98" s="9" t="s">
        <v>353</v>
      </c>
      <c r="C98" s="2" t="s">
        <v>358</v>
      </c>
      <c r="D98" s="2" t="s">
        <v>359</v>
      </c>
      <c r="E98" s="2" t="s">
        <v>367</v>
      </c>
      <c r="F98" s="2" t="s">
        <v>368</v>
      </c>
      <c r="G98" s="2" t="s">
        <v>369</v>
      </c>
      <c r="H98" s="2" t="s">
        <v>29</v>
      </c>
      <c r="K98" s="5" t="s">
        <v>30</v>
      </c>
      <c r="L98" s="5" t="s">
        <v>49</v>
      </c>
      <c r="Q98" s="7" t="s">
        <v>37</v>
      </c>
      <c r="S98" s="2" t="s">
        <v>370</v>
      </c>
      <c r="T98" s="2" t="s">
        <v>49</v>
      </c>
    </row>
    <row r="99" spans="1:21" s="2" customFormat="1" ht="43.2" x14ac:dyDescent="0.3">
      <c r="A99" s="9" t="s">
        <v>353</v>
      </c>
      <c r="C99" s="2" t="s">
        <v>358</v>
      </c>
      <c r="D99" s="2" t="s">
        <v>359</v>
      </c>
      <c r="E99" s="2" t="s">
        <v>371</v>
      </c>
      <c r="F99" s="2" t="s">
        <v>372</v>
      </c>
      <c r="G99" s="23" t="s">
        <v>49</v>
      </c>
      <c r="H99" s="2" t="s">
        <v>29</v>
      </c>
      <c r="K99" s="5" t="s">
        <v>30</v>
      </c>
      <c r="L99" s="5" t="s">
        <v>49</v>
      </c>
      <c r="M99" s="2" t="s">
        <v>373</v>
      </c>
      <c r="Q99" s="7" t="s">
        <v>37</v>
      </c>
      <c r="S99" s="2" t="s">
        <v>374</v>
      </c>
      <c r="T99" s="2" t="s">
        <v>49</v>
      </c>
    </row>
    <row r="100" spans="1:21" ht="43.2" x14ac:dyDescent="0.3">
      <c r="A100" s="9" t="s">
        <v>353</v>
      </c>
      <c r="C100" s="2" t="s">
        <v>358</v>
      </c>
      <c r="D100" s="2" t="s">
        <v>375</v>
      </c>
      <c r="E100" s="2" t="s">
        <v>376</v>
      </c>
      <c r="F100" s="2" t="s">
        <v>377</v>
      </c>
      <c r="G100" s="2" t="s">
        <v>378</v>
      </c>
      <c r="H100" s="2" t="s">
        <v>29</v>
      </c>
      <c r="K100" s="5" t="s">
        <v>30</v>
      </c>
      <c r="L100" s="5" t="s">
        <v>49</v>
      </c>
      <c r="M100" s="1" t="s">
        <v>379</v>
      </c>
      <c r="O100" s="2"/>
      <c r="Q100" s="7" t="s">
        <v>37</v>
      </c>
      <c r="S100" s="2" t="s">
        <v>380</v>
      </c>
      <c r="T100" s="2" t="s">
        <v>178</v>
      </c>
      <c r="U100" s="2"/>
    </row>
    <row r="101" spans="1:21" ht="43.2" x14ac:dyDescent="0.3">
      <c r="A101" s="9" t="s">
        <v>353</v>
      </c>
      <c r="C101" s="2" t="s">
        <v>358</v>
      </c>
      <c r="D101" s="2" t="s">
        <v>381</v>
      </c>
      <c r="E101" s="2" t="s">
        <v>382</v>
      </c>
      <c r="F101" s="2" t="s">
        <v>383</v>
      </c>
      <c r="G101" s="23" t="s">
        <v>384</v>
      </c>
      <c r="H101" s="2" t="s">
        <v>29</v>
      </c>
      <c r="K101" s="18" t="s">
        <v>30</v>
      </c>
      <c r="L101" s="18" t="s">
        <v>49</v>
      </c>
      <c r="O101" s="2"/>
      <c r="Q101" s="7" t="s">
        <v>37</v>
      </c>
      <c r="S101" s="2" t="s">
        <v>49</v>
      </c>
      <c r="T101" s="2" t="s">
        <v>178</v>
      </c>
      <c r="U101" s="2"/>
    </row>
    <row r="102" spans="1:21" ht="43.2" x14ac:dyDescent="0.3">
      <c r="A102" s="9" t="s">
        <v>353</v>
      </c>
      <c r="C102" s="2" t="s">
        <v>358</v>
      </c>
      <c r="D102" s="2" t="s">
        <v>385</v>
      </c>
      <c r="E102" s="2" t="s">
        <v>382</v>
      </c>
      <c r="F102" s="2" t="s">
        <v>386</v>
      </c>
      <c r="G102" s="23" t="s">
        <v>384</v>
      </c>
      <c r="H102" s="2" t="s">
        <v>29</v>
      </c>
      <c r="K102" s="18" t="s">
        <v>30</v>
      </c>
      <c r="L102" s="18" t="s">
        <v>49</v>
      </c>
      <c r="O102" s="2"/>
      <c r="Q102" s="7" t="s">
        <v>37</v>
      </c>
      <c r="S102" s="2" t="s">
        <v>49</v>
      </c>
      <c r="T102" s="2" t="s">
        <v>178</v>
      </c>
      <c r="U102" s="2"/>
    </row>
    <row r="103" spans="1:21" ht="43.2" x14ac:dyDescent="0.3">
      <c r="A103" s="9" t="s">
        <v>353</v>
      </c>
      <c r="C103" s="2" t="s">
        <v>358</v>
      </c>
      <c r="D103" s="2" t="s">
        <v>387</v>
      </c>
      <c r="E103" s="2" t="s">
        <v>382</v>
      </c>
      <c r="F103" s="2" t="s">
        <v>388</v>
      </c>
      <c r="G103" s="23" t="s">
        <v>384</v>
      </c>
      <c r="H103" s="2" t="s">
        <v>29</v>
      </c>
      <c r="K103" s="18" t="s">
        <v>30</v>
      </c>
      <c r="L103" s="18" t="s">
        <v>49</v>
      </c>
      <c r="O103" s="2"/>
      <c r="Q103" s="7" t="s">
        <v>37</v>
      </c>
      <c r="S103" s="2" t="s">
        <v>49</v>
      </c>
      <c r="T103" s="2" t="s">
        <v>178</v>
      </c>
      <c r="U103" s="2"/>
    </row>
    <row r="104" spans="1:21" ht="49.2" customHeight="1" x14ac:dyDescent="0.3">
      <c r="A104" s="9" t="s">
        <v>353</v>
      </c>
      <c r="C104" s="2" t="s">
        <v>261</v>
      </c>
      <c r="D104" s="2" t="s">
        <v>389</v>
      </c>
      <c r="E104" s="2" t="s">
        <v>390</v>
      </c>
      <c r="F104" s="2" t="s">
        <v>391</v>
      </c>
      <c r="G104" s="2" t="s">
        <v>356</v>
      </c>
      <c r="H104" s="2" t="s">
        <v>356</v>
      </c>
      <c r="I104" s="2" t="s">
        <v>356</v>
      </c>
      <c r="J104" s="2" t="s">
        <v>356</v>
      </c>
      <c r="K104" s="2" t="s">
        <v>356</v>
      </c>
      <c r="L104" s="2" t="s">
        <v>356</v>
      </c>
      <c r="M104" s="2" t="s">
        <v>356</v>
      </c>
      <c r="N104" s="2" t="s">
        <v>356</v>
      </c>
      <c r="O104" s="2" t="s">
        <v>356</v>
      </c>
      <c r="P104" s="2" t="s">
        <v>356</v>
      </c>
      <c r="Q104" s="7" t="s">
        <v>37</v>
      </c>
      <c r="S104" s="2" t="s">
        <v>356</v>
      </c>
      <c r="T104" s="2" t="s">
        <v>356</v>
      </c>
      <c r="U104" s="2"/>
    </row>
    <row r="105" spans="1:21" ht="43.2" x14ac:dyDescent="0.3">
      <c r="A105" s="9" t="s">
        <v>353</v>
      </c>
      <c r="B105" s="2" t="s">
        <v>23</v>
      </c>
      <c r="C105" s="2" t="s">
        <v>220</v>
      </c>
      <c r="D105" s="2" t="s">
        <v>261</v>
      </c>
      <c r="E105" s="2" t="s">
        <v>275</v>
      </c>
      <c r="F105" s="2" t="s">
        <v>276</v>
      </c>
      <c r="G105" s="2" t="s">
        <v>356</v>
      </c>
      <c r="H105" s="2" t="s">
        <v>356</v>
      </c>
      <c r="I105" s="2" t="s">
        <v>356</v>
      </c>
      <c r="J105" s="2" t="s">
        <v>356</v>
      </c>
      <c r="K105" s="2" t="s">
        <v>356</v>
      </c>
      <c r="L105" s="2" t="s">
        <v>356</v>
      </c>
      <c r="M105" s="2" t="s">
        <v>356</v>
      </c>
      <c r="N105" s="2" t="s">
        <v>356</v>
      </c>
      <c r="O105" s="2" t="s">
        <v>356</v>
      </c>
      <c r="P105" s="2" t="s">
        <v>356</v>
      </c>
      <c r="Q105" s="7" t="s">
        <v>37</v>
      </c>
      <c r="S105" s="2" t="s">
        <v>356</v>
      </c>
      <c r="T105" s="2" t="s">
        <v>356</v>
      </c>
      <c r="U105" s="2"/>
    </row>
    <row r="106" spans="1:21" ht="43.2" x14ac:dyDescent="0.3">
      <c r="A106" s="9" t="s">
        <v>353</v>
      </c>
      <c r="B106" s="2" t="s">
        <v>23</v>
      </c>
      <c r="C106" s="2" t="s">
        <v>220</v>
      </c>
      <c r="D106" s="2" t="s">
        <v>261</v>
      </c>
      <c r="E106" s="2" t="s">
        <v>392</v>
      </c>
      <c r="F106" s="2" t="s">
        <v>393</v>
      </c>
      <c r="G106" s="2" t="s">
        <v>356</v>
      </c>
      <c r="H106" s="2" t="s">
        <v>356</v>
      </c>
      <c r="I106" s="2" t="s">
        <v>356</v>
      </c>
      <c r="J106" s="2" t="s">
        <v>356</v>
      </c>
      <c r="K106" s="2" t="s">
        <v>356</v>
      </c>
      <c r="L106" s="2" t="s">
        <v>356</v>
      </c>
      <c r="M106" s="2" t="s">
        <v>356</v>
      </c>
      <c r="N106" s="2" t="s">
        <v>356</v>
      </c>
      <c r="O106" s="2" t="s">
        <v>356</v>
      </c>
      <c r="P106" s="2" t="s">
        <v>356</v>
      </c>
      <c r="Q106" s="7" t="s">
        <v>37</v>
      </c>
      <c r="S106" s="2" t="s">
        <v>356</v>
      </c>
      <c r="T106" s="2" t="s">
        <v>356</v>
      </c>
      <c r="U106" s="2"/>
    </row>
  </sheetData>
  <autoFilter ref="A1:V106" xr:uid="{00000000-0001-0000-0000-000000000000}">
    <filterColumn colId="16">
      <filters>
        <filter val="V2"/>
      </filters>
    </filterColumn>
  </autoFilter>
  <conditionalFormatting sqref="O1:O93">
    <cfRule type="cellIs" dxfId="11" priority="21" operator="equal">
      <formula>"Très difficile"</formula>
    </cfRule>
    <cfRule type="cellIs" dxfId="10" priority="22" operator="equal">
      <formula>"Facile"</formula>
    </cfRule>
    <cfRule type="cellIs" dxfId="9" priority="23" operator="equal">
      <formula>"Moyen"</formula>
    </cfRule>
    <cfRule type="cellIs" dxfId="8" priority="24" operator="equal">
      <formula>"Difficile"</formula>
    </cfRule>
  </conditionalFormatting>
  <conditionalFormatting sqref="O100:O103">
    <cfRule type="cellIs" dxfId="7" priority="1" operator="equal">
      <formula>"Très difficile"</formula>
    </cfRule>
    <cfRule type="cellIs" dxfId="6" priority="2" operator="equal">
      <formula>"Facile"</formula>
    </cfRule>
    <cfRule type="cellIs" dxfId="5" priority="3" operator="equal">
      <formula>"Moyen"</formula>
    </cfRule>
    <cfRule type="cellIs" dxfId="4" priority="4" operator="equal">
      <formula>"Difficile"</formula>
    </cfRule>
  </conditionalFormatting>
  <conditionalFormatting sqref="Q1 S1:T1 P1:P93">
    <cfRule type="cellIs" dxfId="3" priority="25" operator="equal">
      <formula>"Open source / déjà dans datagrandest"</formula>
    </cfRule>
    <cfRule type="cellIs" dxfId="2" priority="26" operator="equal">
      <formula>"Mise à disposition obligatoire / doit être reconstituée"</formula>
    </cfRule>
    <cfRule type="cellIs" dxfId="1" priority="27" operator="equal">
      <formula>"Disponible facilement"</formula>
    </cfRule>
    <cfRule type="cellIs" dxfId="0" priority="28" operator="equal">
      <formula>"Données incomplètes ou indisponibles"</formula>
    </cfRule>
  </conditionalFormatting>
  <pageMargins left="0.7" right="0.7" top="0.75" bottom="0.75" header="0.3" footer="0.3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Découvrir mon territoire (ELU)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PETTENATI</dc:creator>
  <cp:lastModifiedBy>Mathieu THAUVIN</cp:lastModifiedBy>
  <cp:revision>43</cp:revision>
  <dcterms:created xsi:type="dcterms:W3CDTF">2026-03-16T13:27:51Z</dcterms:created>
  <dcterms:modified xsi:type="dcterms:W3CDTF">2026-07-17T13:36:13Z</dcterms:modified>
</cp:coreProperties>
</file>